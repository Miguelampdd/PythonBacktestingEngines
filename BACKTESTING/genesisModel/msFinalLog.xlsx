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mpudia/Desktop/BACKTESTING/genesisModel/"/>
    </mc:Choice>
  </mc:AlternateContent>
  <xr:revisionPtr revIDLastSave="0" documentId="13_ncr:1_{844A90C6-1A88-A740-9E40-0B9C43658A9D}" xr6:coauthVersionLast="47" xr6:coauthVersionMax="47" xr10:uidLastSave="{00000000-0000-0000-0000-000000000000}"/>
  <bookViews>
    <workbookView xWindow="0" yWindow="740" windowWidth="34560" windowHeight="21600" activeTab="1" xr2:uid="{8CD0B127-4BCF-5B4B-927B-EB407C260ECB}"/>
  </bookViews>
  <sheets>
    <sheet name="msFinalLog" sheetId="1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2" i="2" l="1"/>
  <c r="A124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 s="1"/>
  <c r="O22" i="2"/>
  <c r="O23" i="2"/>
  <c r="O24" i="2" s="1"/>
  <c r="O25" i="2"/>
  <c r="O26" i="2"/>
  <c r="O27" i="2"/>
  <c r="O28" i="2"/>
  <c r="O29" i="2"/>
  <c r="O30" i="2" s="1"/>
  <c r="O31" i="2"/>
  <c r="O32" i="2"/>
  <c r="O33" i="2"/>
  <c r="O34" i="2"/>
  <c r="O35" i="2"/>
  <c r="O36" i="2"/>
  <c r="O37" i="2"/>
  <c r="O38" i="2" s="1"/>
  <c r="O39" i="2" s="1"/>
  <c r="O40" i="2" s="1"/>
  <c r="O41" i="2" s="1"/>
  <c r="O42" i="2"/>
  <c r="O43" i="2"/>
  <c r="O44" i="2" s="1"/>
  <c r="O45" i="2"/>
  <c r="O46" i="2"/>
  <c r="O47" i="2"/>
  <c r="O48" i="2"/>
  <c r="O49" i="2"/>
  <c r="O50" i="2"/>
  <c r="O51" i="2" s="1"/>
  <c r="O52" i="2" s="1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 s="1"/>
  <c r="O67" i="2" s="1"/>
  <c r="O68" i="2" s="1"/>
  <c r="O69" i="2"/>
  <c r="O70" i="2"/>
  <c r="O71" i="2"/>
  <c r="O72" i="2"/>
  <c r="O73" i="2"/>
  <c r="O74" i="2"/>
  <c r="O75" i="2"/>
  <c r="O76" i="2"/>
  <c r="O77" i="2"/>
  <c r="O78" i="2"/>
  <c r="O79" i="2"/>
  <c r="O80" i="2" s="1"/>
  <c r="O81" i="2"/>
  <c r="O82" i="2"/>
  <c r="O83" i="2" s="1"/>
  <c r="O84" i="2"/>
  <c r="O85" i="2"/>
  <c r="O86" i="2"/>
  <c r="O87" i="2"/>
  <c r="O88" i="2"/>
  <c r="O89" i="2"/>
  <c r="O90" i="2"/>
  <c r="O91" i="2"/>
  <c r="O92" i="2"/>
  <c r="O93" i="2" s="1"/>
  <c r="O94" i="2" s="1"/>
  <c r="O95" i="2"/>
  <c r="O96" i="2"/>
  <c r="O97" i="2"/>
  <c r="O98" i="2" s="1"/>
  <c r="O99" i="2"/>
  <c r="O100" i="2"/>
  <c r="O101" i="2"/>
  <c r="O102" i="2"/>
  <c r="O103" i="2"/>
  <c r="O104" i="2"/>
  <c r="O105" i="2"/>
  <c r="O106" i="2"/>
  <c r="O107" i="2"/>
  <c r="O108" i="2"/>
  <c r="O109" i="2" s="1"/>
  <c r="O110" i="2" s="1"/>
  <c r="O111" i="2"/>
  <c r="O112" i="2"/>
  <c r="O113" i="2"/>
  <c r="O114" i="2" s="1"/>
  <c r="O115" i="2"/>
  <c r="O116" i="2"/>
  <c r="O117" i="2"/>
  <c r="O118" i="2"/>
  <c r="O119" i="2"/>
  <c r="O120" i="2" s="1"/>
  <c r="O121" i="2"/>
  <c r="O122" i="2"/>
  <c r="O123" i="2"/>
  <c r="O124" i="2"/>
  <c r="O125" i="2"/>
  <c r="O126" i="2"/>
  <c r="O127" i="2" s="1"/>
  <c r="O128" i="2" s="1"/>
  <c r="O129" i="2" s="1"/>
  <c r="O130" i="2"/>
  <c r="O131" i="2"/>
  <c r="O132" i="2"/>
  <c r="O133" i="2"/>
  <c r="O134" i="2"/>
  <c r="O135" i="2"/>
  <c r="O136" i="2" s="1"/>
  <c r="O137" i="2"/>
  <c r="O138" i="2"/>
  <c r="O139" i="2"/>
  <c r="O140" i="2"/>
  <c r="O141" i="2"/>
  <c r="O142" i="2"/>
  <c r="O143" i="2"/>
  <c r="O144" i="2"/>
  <c r="O145" i="2"/>
  <c r="O146" i="2"/>
  <c r="O147" i="2" s="1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 s="1"/>
  <c r="O163" i="2" s="1"/>
  <c r="O164" i="2"/>
  <c r="O165" i="2"/>
  <c r="O166" i="2"/>
  <c r="O167" i="2"/>
  <c r="O168" i="2"/>
  <c r="O169" i="2" s="1"/>
  <c r="O170" i="2"/>
  <c r="O171" i="2"/>
  <c r="O172" i="2"/>
  <c r="O173" i="2"/>
  <c r="O174" i="2"/>
  <c r="O175" i="2"/>
  <c r="O176" i="2"/>
  <c r="O177" i="2"/>
  <c r="O178" i="2"/>
  <c r="O179" i="2" s="1"/>
  <c r="O180" i="2"/>
  <c r="O181" i="2"/>
  <c r="O182" i="2" s="1"/>
  <c r="O183" i="2" s="1"/>
  <c r="O184" i="2"/>
  <c r="O185" i="2"/>
  <c r="O186" i="2"/>
  <c r="O187" i="2"/>
  <c r="O188" i="2" s="1"/>
  <c r="O189" i="2" s="1"/>
  <c r="O190" i="2"/>
  <c r="O191" i="2"/>
  <c r="O192" i="2"/>
  <c r="O193" i="2"/>
  <c r="O194" i="2"/>
  <c r="O195" i="2"/>
  <c r="O196" i="2" s="1"/>
  <c r="O197" i="2" s="1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 s="1"/>
  <c r="O211" i="2"/>
  <c r="O212" i="2"/>
  <c r="O213" i="2"/>
  <c r="O214" i="2"/>
  <c r="O215" i="2"/>
  <c r="O216" i="2"/>
  <c r="O217" i="2" s="1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 s="1"/>
  <c r="O235" i="2"/>
  <c r="O236" i="2"/>
  <c r="O237" i="2"/>
  <c r="O238" i="2"/>
  <c r="O239" i="2"/>
  <c r="O240" i="2"/>
  <c r="O241" i="2"/>
  <c r="O242" i="2"/>
  <c r="O243" i="2"/>
  <c r="O244" i="2" s="1"/>
  <c r="O245" i="2"/>
  <c r="O246" i="2"/>
  <c r="O247" i="2"/>
  <c r="O248" i="2"/>
  <c r="O249" i="2" s="1"/>
  <c r="O250" i="2"/>
  <c r="O251" i="2"/>
  <c r="O252" i="2"/>
  <c r="O253" i="2"/>
  <c r="O254" i="2" s="1"/>
  <c r="O255" i="2"/>
  <c r="O256" i="2"/>
  <c r="O257" i="2"/>
  <c r="O258" i="2" s="1"/>
  <c r="O259" i="2" s="1"/>
  <c r="O260" i="2" s="1"/>
  <c r="O261" i="2" s="1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 s="1"/>
  <c r="O281" i="2"/>
  <c r="O282" i="2"/>
  <c r="O283" i="2"/>
  <c r="O284" i="2"/>
  <c r="O285" i="2" s="1"/>
  <c r="O286" i="2"/>
  <c r="O287" i="2"/>
  <c r="O288" i="2"/>
  <c r="O289" i="2"/>
  <c r="O290" i="2"/>
  <c r="O291" i="2" s="1"/>
  <c r="O292" i="2"/>
  <c r="O293" i="2"/>
  <c r="O294" i="2"/>
  <c r="O295" i="2"/>
  <c r="O296" i="2"/>
  <c r="O297" i="2"/>
  <c r="O298" i="2" s="1"/>
  <c r="O299" i="2"/>
  <c r="O300" i="2"/>
  <c r="O301" i="2"/>
  <c r="O302" i="2"/>
  <c r="O303" i="2"/>
  <c r="O304" i="2"/>
  <c r="O305" i="2" s="1"/>
  <c r="O306" i="2" s="1"/>
  <c r="O307" i="2" s="1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 s="1"/>
  <c r="O336" i="2"/>
  <c r="O337" i="2"/>
  <c r="O338" i="2"/>
  <c r="O339" i="2"/>
  <c r="O340" i="2"/>
  <c r="O341" i="2" s="1"/>
  <c r="O342" i="2" s="1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 s="1"/>
  <c r="O357" i="2" s="1"/>
  <c r="O358" i="2" s="1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 s="1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 s="1"/>
  <c r="O399" i="2" s="1"/>
  <c r="O400" i="2" s="1"/>
  <c r="O401" i="2"/>
  <c r="O402" i="2"/>
  <c r="O403" i="2" s="1"/>
  <c r="O404" i="2"/>
  <c r="O405" i="2"/>
  <c r="O406" i="2" s="1"/>
  <c r="O407" i="2" s="1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 s="1"/>
  <c r="O426" i="2"/>
  <c r="O427" i="2"/>
  <c r="O428" i="2"/>
  <c r="O429" i="2"/>
  <c r="O430" i="2"/>
  <c r="O431" i="2"/>
  <c r="O432" i="2" s="1"/>
  <c r="O433" i="2" s="1"/>
  <c r="O434" i="2"/>
  <c r="O435" i="2"/>
  <c r="O436" i="2"/>
  <c r="O437" i="2"/>
  <c r="O438" i="2"/>
  <c r="O439" i="2"/>
  <c r="O440" i="2"/>
  <c r="O441" i="2"/>
  <c r="O442" i="2"/>
  <c r="O443" i="2" s="1"/>
  <c r="O444" i="2"/>
  <c r="O445" i="2"/>
  <c r="O446" i="2"/>
  <c r="O447" i="2"/>
  <c r="O448" i="2"/>
  <c r="O449" i="2"/>
  <c r="O450" i="2" s="1"/>
  <c r="O451" i="2"/>
  <c r="O452" i="2"/>
  <c r="O453" i="2"/>
  <c r="O454" i="2"/>
  <c r="O455" i="2"/>
  <c r="O456" i="2"/>
  <c r="O457" i="2"/>
  <c r="O458" i="2"/>
  <c r="O459" i="2" s="1"/>
  <c r="O460" i="2" s="1"/>
  <c r="O461" i="2"/>
  <c r="O462" i="2"/>
  <c r="O463" i="2"/>
  <c r="O464" i="2"/>
  <c r="O465" i="2"/>
  <c r="O466" i="2"/>
  <c r="O467" i="2"/>
  <c r="O468" i="2"/>
  <c r="O469" i="2" s="1"/>
  <c r="O470" i="2" s="1"/>
  <c r="O471" i="2"/>
  <c r="O472" i="2"/>
  <c r="O473" i="2"/>
  <c r="O474" i="2"/>
  <c r="O475" i="2"/>
  <c r="O476" i="2"/>
  <c r="O477" i="2" s="1"/>
  <c r="O478" i="2" s="1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 s="1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 s="1"/>
  <c r="O516" i="2" s="1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 s="1"/>
  <c r="O534" i="2" s="1"/>
  <c r="O535" i="2"/>
  <c r="O536" i="2"/>
  <c r="O537" i="2"/>
  <c r="O538" i="2"/>
  <c r="O539" i="2" s="1"/>
  <c r="O540" i="2"/>
  <c r="O541" i="2"/>
  <c r="O542" i="2"/>
  <c r="O543" i="2" s="1"/>
  <c r="O544" i="2"/>
  <c r="O545" i="2"/>
  <c r="O546" i="2"/>
  <c r="O547" i="2"/>
  <c r="O548" i="2"/>
  <c r="O549" i="2"/>
  <c r="O550" i="2" s="1"/>
  <c r="O551" i="2" s="1"/>
  <c r="O552" i="2" s="1"/>
  <c r="O553" i="2" s="1"/>
  <c r="O554" i="2"/>
  <c r="O555" i="2"/>
  <c r="O556" i="2"/>
  <c r="O557" i="2"/>
  <c r="O558" i="2" s="1"/>
  <c r="O559" i="2" s="1"/>
  <c r="O560" i="2"/>
  <c r="O561" i="2"/>
  <c r="O562" i="2" s="1"/>
  <c r="O563" i="2"/>
  <c r="O564" i="2"/>
  <c r="O565" i="2"/>
  <c r="O566" i="2"/>
  <c r="O567" i="2"/>
  <c r="O568" i="2"/>
  <c r="O569" i="2"/>
  <c r="O570" i="2"/>
  <c r="O571" i="2"/>
  <c r="O572" i="2"/>
  <c r="O573" i="2"/>
  <c r="O574" i="2" s="1"/>
  <c r="O575" i="2" s="1"/>
  <c r="O576" i="2" s="1"/>
  <c r="O577" i="2" s="1"/>
  <c r="O578" i="2" s="1"/>
  <c r="O579" i="2"/>
  <c r="O580" i="2"/>
  <c r="O581" i="2"/>
  <c r="O582" i="2"/>
  <c r="O583" i="2"/>
  <c r="O584" i="2"/>
  <c r="O585" i="2"/>
  <c r="O586" i="2"/>
  <c r="O587" i="2"/>
  <c r="O588" i="2"/>
  <c r="O589" i="2" s="1"/>
  <c r="O590" i="2"/>
  <c r="O591" i="2"/>
  <c r="O592" i="2"/>
  <c r="O593" i="2"/>
  <c r="O594" i="2"/>
  <c r="O595" i="2"/>
  <c r="O596" i="2"/>
  <c r="O597" i="2"/>
  <c r="O598" i="2"/>
  <c r="O599" i="2" s="1"/>
  <c r="O600" i="2"/>
  <c r="O601" i="2"/>
  <c r="O602" i="2" s="1"/>
  <c r="O603" i="2"/>
  <c r="O604" i="2"/>
  <c r="O605" i="2" s="1"/>
  <c r="O606" i="2" s="1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 s="1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 s="1"/>
  <c r="O642" i="2" s="1"/>
  <c r="O643" i="2"/>
  <c r="O644" i="2"/>
  <c r="O645" i="2"/>
  <c r="O646" i="2"/>
  <c r="O647" i="2" s="1"/>
  <c r="O648" i="2"/>
  <c r="O649" i="2"/>
  <c r="O650" i="2"/>
  <c r="O651" i="2"/>
  <c r="O652" i="2"/>
  <c r="O653" i="2"/>
  <c r="O654" i="2"/>
  <c r="O655" i="2" s="1"/>
  <c r="O656" i="2"/>
  <c r="O657" i="2"/>
  <c r="O658" i="2"/>
  <c r="O659" i="2"/>
  <c r="O660" i="2"/>
  <c r="O661" i="2" s="1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 s="1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 s="1"/>
  <c r="O696" i="2"/>
  <c r="O697" i="2"/>
  <c r="O698" i="2" s="1"/>
  <c r="O699" i="2" s="1"/>
  <c r="O700" i="2"/>
  <c r="O701" i="2"/>
  <c r="O702" i="2"/>
  <c r="O703" i="2"/>
  <c r="O704" i="2"/>
  <c r="O705" i="2"/>
  <c r="O706" i="2"/>
  <c r="O707" i="2" s="1"/>
  <c r="O708" i="2"/>
  <c r="O709" i="2"/>
  <c r="O710" i="2"/>
  <c r="O711" i="2"/>
  <c r="O712" i="2"/>
  <c r="O713" i="2" s="1"/>
  <c r="O714" i="2"/>
  <c r="O715" i="2"/>
  <c r="O716" i="2"/>
  <c r="O717" i="2"/>
  <c r="O718" i="2" s="1"/>
  <c r="O719" i="2"/>
  <c r="O720" i="2"/>
  <c r="O721" i="2"/>
  <c r="O722" i="2" s="1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 s="1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 s="1"/>
  <c r="O755" i="2" s="1"/>
  <c r="O756" i="2"/>
  <c r="O757" i="2"/>
  <c r="O758" i="2"/>
  <c r="O759" i="2" s="1"/>
  <c r="O760" i="2" s="1"/>
  <c r="O761" i="2"/>
  <c r="O762" i="2"/>
  <c r="O763" i="2" s="1"/>
  <c r="O764" i="2"/>
  <c r="O765" i="2"/>
  <c r="O766" i="2"/>
  <c r="O767" i="2"/>
  <c r="O768" i="2"/>
  <c r="O769" i="2"/>
  <c r="O770" i="2" s="1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 s="1"/>
  <c r="O805" i="2"/>
  <c r="O806" i="2"/>
  <c r="O807" i="2" s="1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 s="1"/>
  <c r="O825" i="2"/>
  <c r="O826" i="2"/>
  <c r="O827" i="2"/>
  <c r="O828" i="2"/>
  <c r="O829" i="2"/>
  <c r="O830" i="2"/>
  <c r="O831" i="2" s="1"/>
  <c r="O832" i="2"/>
  <c r="O833" i="2"/>
  <c r="O834" i="2"/>
  <c r="O835" i="2"/>
  <c r="O836" i="2" s="1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 s="1"/>
  <c r="O854" i="2"/>
  <c r="O855" i="2"/>
  <c r="O856" i="2" s="1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 s="1"/>
  <c r="O873" i="2" s="1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 s="1"/>
  <c r="O894" i="2"/>
  <c r="O895" i="2"/>
  <c r="O896" i="2"/>
  <c r="O897" i="2"/>
  <c r="O898" i="2"/>
  <c r="O899" i="2"/>
  <c r="O900" i="2"/>
  <c r="O901" i="2"/>
  <c r="O902" i="2"/>
  <c r="O903" i="2" s="1"/>
  <c r="O904" i="2" s="1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 s="1"/>
  <c r="O923" i="2" s="1"/>
  <c r="O924" i="2"/>
  <c r="O925" i="2"/>
  <c r="O926" i="2" s="1"/>
  <c r="O927" i="2"/>
  <c r="O928" i="2"/>
  <c r="O929" i="2"/>
  <c r="O930" i="2"/>
  <c r="O931" i="2" s="1"/>
  <c r="O932" i="2" s="1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 s="1"/>
  <c r="O959" i="2"/>
  <c r="O960" i="2"/>
  <c r="O961" i="2"/>
  <c r="O962" i="2"/>
  <c r="O963" i="2"/>
  <c r="O964" i="2" s="1"/>
  <c r="O965" i="2"/>
  <c r="O966" i="2"/>
  <c r="O967" i="2"/>
  <c r="O968" i="2"/>
  <c r="O969" i="2" s="1"/>
  <c r="O970" i="2"/>
  <c r="O971" i="2"/>
  <c r="O972" i="2"/>
  <c r="O973" i="2"/>
  <c r="O974" i="2"/>
  <c r="O975" i="2"/>
  <c r="O976" i="2"/>
  <c r="O977" i="2"/>
  <c r="O978" i="2"/>
  <c r="O979" i="2"/>
  <c r="O980" i="2" s="1"/>
  <c r="O981" i="2" s="1"/>
  <c r="O982" i="2"/>
  <c r="O983" i="2"/>
  <c r="O984" i="2"/>
  <c r="O985" i="2" s="1"/>
  <c r="O986" i="2"/>
  <c r="O987" i="2"/>
  <c r="O988" i="2"/>
  <c r="O989" i="2"/>
  <c r="O990" i="2"/>
  <c r="O991" i="2"/>
  <c r="O992" i="2"/>
  <c r="O993" i="2"/>
  <c r="O994" i="2" s="1"/>
  <c r="O995" i="2"/>
  <c r="O996" i="2"/>
  <c r="O997" i="2"/>
  <c r="O998" i="2"/>
  <c r="O999" i="2"/>
  <c r="O1000" i="2"/>
  <c r="O1001" i="2" s="1"/>
  <c r="O1002" i="2" s="1"/>
  <c r="O1003" i="2"/>
  <c r="O1004" i="2"/>
  <c r="O1005" i="2"/>
  <c r="O1006" i="2" s="1"/>
  <c r="O1007" i="2"/>
  <c r="O1008" i="2"/>
  <c r="O1009" i="2"/>
  <c r="O1010" i="2"/>
  <c r="O1011" i="2"/>
  <c r="O1012" i="2"/>
  <c r="O1013" i="2"/>
  <c r="O1014" i="2"/>
  <c r="O1015" i="2"/>
  <c r="O1016" i="2"/>
  <c r="O1017" i="2"/>
  <c r="O1018" i="2" s="1"/>
  <c r="O1019" i="2"/>
  <c r="O1020" i="2"/>
  <c r="O1021" i="2"/>
  <c r="O1022" i="2"/>
  <c r="O1023" i="2" s="1"/>
  <c r="O1024" i="2"/>
  <c r="O1025" i="2"/>
  <c r="O1026" i="2"/>
  <c r="O1027" i="2"/>
  <c r="O1028" i="2"/>
  <c r="O1029" i="2"/>
  <c r="O1030" i="2"/>
  <c r="O1031" i="2" s="1"/>
  <c r="O1032" i="2" s="1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 s="1"/>
  <c r="O1056" i="2"/>
  <c r="O1057" i="2"/>
  <c r="O1058" i="2"/>
  <c r="O1059" i="2"/>
  <c r="O1060" i="2"/>
  <c r="O1061" i="2"/>
  <c r="O1062" i="2"/>
  <c r="O1063" i="2"/>
  <c r="O1064" i="2" s="1"/>
  <c r="O1065" i="2"/>
  <c r="O1066" i="2"/>
  <c r="O1067" i="2" s="1"/>
  <c r="O1068" i="2"/>
  <c r="O1069" i="2"/>
  <c r="O1070" i="2"/>
  <c r="O1071" i="2"/>
  <c r="O1072" i="2" s="1"/>
  <c r="O1073" i="2"/>
  <c r="O1074" i="2"/>
  <c r="O1075" i="2"/>
  <c r="O1076" i="2"/>
  <c r="O1077" i="2"/>
  <c r="O1078" i="2"/>
  <c r="O1079" i="2"/>
  <c r="O1080" i="2" s="1"/>
  <c r="O1081" i="2"/>
  <c r="O1082" i="2"/>
  <c r="O1083" i="2"/>
  <c r="O1084" i="2"/>
  <c r="O1085" i="2"/>
  <c r="O1086" i="2" s="1"/>
  <c r="O1087" i="2"/>
  <c r="O1088" i="2"/>
  <c r="O1089" i="2"/>
  <c r="O1090" i="2"/>
  <c r="O1091" i="2" s="1"/>
  <c r="O1092" i="2"/>
  <c r="O1093" i="2"/>
  <c r="O1094" i="2"/>
  <c r="O1095" i="2"/>
  <c r="O1096" i="2" s="1"/>
  <c r="O1097" i="2" s="1"/>
  <c r="O1098" i="2" s="1"/>
  <c r="O1099" i="2"/>
  <c r="O1100" i="2"/>
  <c r="O1101" i="2"/>
  <c r="O1102" i="2" s="1"/>
  <c r="O1103" i="2"/>
  <c r="O1104" i="2"/>
  <c r="O1105" i="2"/>
  <c r="O1106" i="2"/>
  <c r="O1107" i="2"/>
  <c r="O1108" i="2" s="1"/>
  <c r="O1109" i="2" s="1"/>
  <c r="O1110" i="2" s="1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 s="1"/>
  <c r="O1128" i="2" s="1"/>
  <c r="O1129" i="2" s="1"/>
  <c r="O1130" i="2"/>
  <c r="O1131" i="2"/>
  <c r="O1132" i="2"/>
  <c r="O1133" i="2"/>
  <c r="O1134" i="2"/>
  <c r="O1135" i="2"/>
  <c r="O1136" i="2"/>
  <c r="O1137" i="2"/>
  <c r="O1138" i="2" s="1"/>
  <c r="O1139" i="2"/>
  <c r="O1140" i="2"/>
  <c r="O1141" i="2" s="1"/>
  <c r="O1142" i="2"/>
  <c r="O1143" i="2"/>
  <c r="O1144" i="2"/>
  <c r="O1145" i="2"/>
  <c r="O1146" i="2"/>
  <c r="O1147" i="2"/>
  <c r="O1148" i="2" s="1"/>
  <c r="O1149" i="2" s="1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 s="1"/>
  <c r="O1171" i="2"/>
  <c r="O1172" i="2"/>
  <c r="O1173" i="2"/>
  <c r="O1174" i="2"/>
  <c r="O1175" i="2"/>
  <c r="O1176" i="2"/>
  <c r="O1177" i="2"/>
  <c r="O1178" i="2"/>
  <c r="O1179" i="2"/>
  <c r="O1180" i="2" s="1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 s="1"/>
  <c r="O1202" i="2"/>
  <c r="O1203" i="2"/>
  <c r="O1204" i="2"/>
  <c r="O1205" i="2"/>
  <c r="O1206" i="2"/>
  <c r="O1207" i="2"/>
  <c r="O1208" i="2" s="1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 s="1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N2" i="2"/>
  <c r="N3" i="2"/>
  <c r="N4" i="2"/>
  <c r="N5" i="2"/>
  <c r="N6" i="2"/>
  <c r="N7" i="2"/>
  <c r="N8" i="2" s="1"/>
  <c r="N9" i="2"/>
  <c r="N10" i="2"/>
  <c r="N11" i="2"/>
  <c r="N12" i="2"/>
  <c r="N13" i="2" s="1"/>
  <c r="N14" i="2"/>
  <c r="N15" i="2"/>
  <c r="N16" i="2" s="1"/>
  <c r="N17" i="2" s="1"/>
  <c r="N18" i="2" s="1"/>
  <c r="N19" i="2" s="1"/>
  <c r="N20" i="2"/>
  <c r="N21" i="2"/>
  <c r="N22" i="2"/>
  <c r="N23" i="2"/>
  <c r="N24" i="2"/>
  <c r="N25" i="2"/>
  <c r="N26" i="2" s="1"/>
  <c r="N27" i="2"/>
  <c r="N28" i="2"/>
  <c r="N29" i="2"/>
  <c r="N30" i="2"/>
  <c r="N31" i="2"/>
  <c r="N32" i="2" s="1"/>
  <c r="N33" i="2"/>
  <c r="N34" i="2"/>
  <c r="N35" i="2" s="1"/>
  <c r="N36" i="2" s="1"/>
  <c r="N37" i="2"/>
  <c r="N38" i="2"/>
  <c r="N39" i="2"/>
  <c r="N40" i="2"/>
  <c r="N41" i="2"/>
  <c r="N42" i="2"/>
  <c r="N43" i="2"/>
  <c r="N44" i="2"/>
  <c r="N45" i="2"/>
  <c r="N46" i="2" s="1"/>
  <c r="N47" i="2" s="1"/>
  <c r="N48" i="2" s="1"/>
  <c r="N49" i="2" s="1"/>
  <c r="N50" i="2"/>
  <c r="N51" i="2"/>
  <c r="N52" i="2"/>
  <c r="N53" i="2"/>
  <c r="N54" i="2"/>
  <c r="N55" i="2"/>
  <c r="N56" i="2" s="1"/>
  <c r="N57" i="2"/>
  <c r="N58" i="2"/>
  <c r="N59" i="2"/>
  <c r="N60" i="2"/>
  <c r="N61" i="2" s="1"/>
  <c r="N62" i="2" s="1"/>
  <c r="N63" i="2"/>
  <c r="N64" i="2"/>
  <c r="N65" i="2"/>
  <c r="N66" i="2"/>
  <c r="N67" i="2"/>
  <c r="N68" i="2"/>
  <c r="N69" i="2"/>
  <c r="N70" i="2" s="1"/>
  <c r="N71" i="2" s="1"/>
  <c r="N72" i="2" s="1"/>
  <c r="N73" i="2" s="1"/>
  <c r="N74" i="2"/>
  <c r="N75" i="2"/>
  <c r="N76" i="2"/>
  <c r="N77" i="2"/>
  <c r="N78" i="2" s="1"/>
  <c r="N79" i="2"/>
  <c r="N80" i="2"/>
  <c r="N81" i="2"/>
  <c r="N82" i="2"/>
  <c r="N83" i="2"/>
  <c r="N84" i="2"/>
  <c r="N85" i="2"/>
  <c r="N86" i="2"/>
  <c r="N87" i="2" s="1"/>
  <c r="N88" i="2" s="1"/>
  <c r="N89" i="2" s="1"/>
  <c r="N90" i="2"/>
  <c r="N91" i="2"/>
  <c r="N92" i="2"/>
  <c r="N93" i="2"/>
  <c r="N94" i="2"/>
  <c r="N95" i="2"/>
  <c r="N96" i="2" s="1"/>
  <c r="N97" i="2"/>
  <c r="N98" i="2"/>
  <c r="N99" i="2"/>
  <c r="N100" i="2"/>
  <c r="N101" i="2"/>
  <c r="N102" i="2" s="1"/>
  <c r="N103" i="2"/>
  <c r="N104" i="2"/>
  <c r="N105" i="2" s="1"/>
  <c r="N106" i="2" s="1"/>
  <c r="N107" i="2" s="1"/>
  <c r="N108" i="2"/>
  <c r="N109" i="2"/>
  <c r="N110" i="2"/>
  <c r="N111" i="2"/>
  <c r="N112" i="2" s="1"/>
  <c r="N113" i="2"/>
  <c r="N114" i="2"/>
  <c r="N115" i="2"/>
  <c r="N116" i="2" s="1"/>
  <c r="N117" i="2" s="1"/>
  <c r="N118" i="2" s="1"/>
  <c r="N119" i="2"/>
  <c r="N120" i="2"/>
  <c r="N121" i="2"/>
  <c r="N122" i="2"/>
  <c r="N123" i="2"/>
  <c r="N124" i="2" s="1"/>
  <c r="N125" i="2" s="1"/>
  <c r="N126" i="2"/>
  <c r="N127" i="2"/>
  <c r="N128" i="2"/>
  <c r="N129" i="2"/>
  <c r="N130" i="2"/>
  <c r="N131" i="2" s="1"/>
  <c r="N132" i="2" s="1"/>
  <c r="N133" i="2"/>
  <c r="N134" i="2"/>
  <c r="N135" i="2"/>
  <c r="N136" i="2"/>
  <c r="N137" i="2"/>
  <c r="N138" i="2" s="1"/>
  <c r="N139" i="2" s="1"/>
  <c r="N140" i="2" s="1"/>
  <c r="N141" i="2" s="1"/>
  <c r="N142" i="2"/>
  <c r="N143" i="2"/>
  <c r="N144" i="2"/>
  <c r="N145" i="2"/>
  <c r="N146" i="2"/>
  <c r="N147" i="2"/>
  <c r="N148" i="2"/>
  <c r="N149" i="2" s="1"/>
  <c r="N150" i="2" s="1"/>
  <c r="N151" i="2"/>
  <c r="N152" i="2"/>
  <c r="N153" i="2" s="1"/>
  <c r="N154" i="2" s="1"/>
  <c r="N155" i="2"/>
  <c r="N156" i="2"/>
  <c r="N157" i="2"/>
  <c r="N158" i="2"/>
  <c r="N159" i="2" s="1"/>
  <c r="N160" i="2" s="1"/>
  <c r="N161" i="2"/>
  <c r="N162" i="2"/>
  <c r="N163" i="2"/>
  <c r="N164" i="2"/>
  <c r="N165" i="2" s="1"/>
  <c r="N166" i="2" s="1"/>
  <c r="N167" i="2" s="1"/>
  <c r="N168" i="2"/>
  <c r="N169" i="2"/>
  <c r="N170" i="2"/>
  <c r="N171" i="2" s="1"/>
  <c r="N172" i="2" s="1"/>
  <c r="N173" i="2" s="1"/>
  <c r="N174" i="2" s="1"/>
  <c r="N175" i="2" s="1"/>
  <c r="N176" i="2" s="1"/>
  <c r="N177" i="2" s="1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 s="1"/>
  <c r="N194" i="2" s="1"/>
  <c r="N195" i="2"/>
  <c r="N196" i="2"/>
  <c r="N197" i="2"/>
  <c r="N198" i="2"/>
  <c r="N199" i="2" s="1"/>
  <c r="N200" i="2" s="1"/>
  <c r="N201" i="2"/>
  <c r="N202" i="2"/>
  <c r="N203" i="2"/>
  <c r="N204" i="2"/>
  <c r="N205" i="2" s="1"/>
  <c r="N206" i="2" s="1"/>
  <c r="N207" i="2"/>
  <c r="N208" i="2"/>
  <c r="N209" i="2"/>
  <c r="N210" i="2"/>
  <c r="N211" i="2"/>
  <c r="N212" i="2" s="1"/>
  <c r="N213" i="2" s="1"/>
  <c r="N214" i="2"/>
  <c r="N215" i="2"/>
  <c r="N216" i="2"/>
  <c r="N217" i="2"/>
  <c r="N218" i="2"/>
  <c r="N219" i="2" s="1"/>
  <c r="N220" i="2" s="1"/>
  <c r="N221" i="2"/>
  <c r="N222" i="2"/>
  <c r="N223" i="2" s="1"/>
  <c r="N224" i="2" s="1"/>
  <c r="N225" i="2" s="1"/>
  <c r="N226" i="2"/>
  <c r="N227" i="2"/>
  <c r="N228" i="2" s="1"/>
  <c r="N229" i="2" s="1"/>
  <c r="N230" i="2" s="1"/>
  <c r="N231" i="2"/>
  <c r="N232" i="2"/>
  <c r="N233" i="2"/>
  <c r="N234" i="2"/>
  <c r="N235" i="2"/>
  <c r="N236" i="2" s="1"/>
  <c r="N237" i="2" s="1"/>
  <c r="N238" i="2" s="1"/>
  <c r="N239" i="2"/>
  <c r="N240" i="2"/>
  <c r="N241" i="2" s="1"/>
  <c r="N242" i="2" s="1"/>
  <c r="N243" i="2"/>
  <c r="N244" i="2"/>
  <c r="N245" i="2"/>
  <c r="N246" i="2" s="1"/>
  <c r="N247" i="2" s="1"/>
  <c r="N248" i="2"/>
  <c r="N249" i="2"/>
  <c r="N250" i="2"/>
  <c r="N251" i="2"/>
  <c r="N252" i="2"/>
  <c r="N253" i="2"/>
  <c r="N254" i="2"/>
  <c r="N255" i="2"/>
  <c r="N256" i="2" s="1"/>
  <c r="N257" i="2"/>
  <c r="N258" i="2"/>
  <c r="N259" i="2"/>
  <c r="N260" i="2"/>
  <c r="N261" i="2"/>
  <c r="N262" i="2"/>
  <c r="N263" i="2" s="1"/>
  <c r="N264" i="2"/>
  <c r="N265" i="2"/>
  <c r="N266" i="2" s="1"/>
  <c r="N267" i="2" s="1"/>
  <c r="N268" i="2" s="1"/>
  <c r="N269" i="2"/>
  <c r="N270" i="2"/>
  <c r="N271" i="2" s="1"/>
  <c r="N272" i="2" s="1"/>
  <c r="N273" i="2" s="1"/>
  <c r="N274" i="2" s="1"/>
  <c r="N275" i="2" s="1"/>
  <c r="N276" i="2" s="1"/>
  <c r="N277" i="2" s="1"/>
  <c r="N278" i="2" s="1"/>
  <c r="N279" i="2"/>
  <c r="N280" i="2"/>
  <c r="N281" i="2"/>
  <c r="N282" i="2" s="1"/>
  <c r="N283" i="2" s="1"/>
  <c r="N284" i="2"/>
  <c r="N285" i="2"/>
  <c r="N286" i="2"/>
  <c r="N287" i="2"/>
  <c r="N288" i="2"/>
  <c r="N289" i="2" s="1"/>
  <c r="N290" i="2"/>
  <c r="N291" i="2"/>
  <c r="N292" i="2"/>
  <c r="N293" i="2" s="1"/>
  <c r="N294" i="2" s="1"/>
  <c r="N295" i="2"/>
  <c r="N296" i="2"/>
  <c r="N297" i="2"/>
  <c r="N298" i="2"/>
  <c r="N299" i="2"/>
  <c r="N300" i="2" s="1"/>
  <c r="N301" i="2" s="1"/>
  <c r="N302" i="2"/>
  <c r="N303" i="2"/>
  <c r="N304" i="2"/>
  <c r="N305" i="2"/>
  <c r="N306" i="2"/>
  <c r="N307" i="2"/>
  <c r="N308" i="2"/>
  <c r="N309" i="2" s="1"/>
  <c r="N310" i="2"/>
  <c r="N311" i="2"/>
  <c r="N312" i="2" s="1"/>
  <c r="N313" i="2" s="1"/>
  <c r="N314" i="2" s="1"/>
  <c r="N315" i="2" s="1"/>
  <c r="N316" i="2" s="1"/>
  <c r="N317" i="2"/>
  <c r="N318" i="2"/>
  <c r="N319" i="2"/>
  <c r="N320" i="2"/>
  <c r="N321" i="2" s="1"/>
  <c r="N322" i="2"/>
  <c r="N323" i="2"/>
  <c r="N324" i="2"/>
  <c r="N325" i="2"/>
  <c r="N326" i="2" s="1"/>
  <c r="N327" i="2" s="1"/>
  <c r="N328" i="2" s="1"/>
  <c r="N329" i="2" s="1"/>
  <c r="N330" i="2" s="1"/>
  <c r="N331" i="2" s="1"/>
  <c r="N332" i="2"/>
  <c r="N333" i="2"/>
  <c r="N334" i="2"/>
  <c r="N335" i="2"/>
  <c r="N336" i="2"/>
  <c r="N337" i="2" s="1"/>
  <c r="N338" i="2"/>
  <c r="N339" i="2"/>
  <c r="N340" i="2"/>
  <c r="N341" i="2"/>
  <c r="N342" i="2"/>
  <c r="N343" i="2"/>
  <c r="N344" i="2" s="1"/>
  <c r="N345" i="2" s="1"/>
  <c r="N346" i="2" s="1"/>
  <c r="N347" i="2" s="1"/>
  <c r="N348" i="2"/>
  <c r="N349" i="2"/>
  <c r="N350" i="2" s="1"/>
  <c r="N351" i="2"/>
  <c r="N352" i="2"/>
  <c r="N353" i="2"/>
  <c r="N354" i="2"/>
  <c r="N355" i="2"/>
  <c r="N356" i="2"/>
  <c r="N357" i="2"/>
  <c r="N358" i="2"/>
  <c r="N359" i="2"/>
  <c r="N360" i="2"/>
  <c r="N361" i="2"/>
  <c r="N362" i="2" s="1"/>
  <c r="N363" i="2"/>
  <c r="N364" i="2"/>
  <c r="N365" i="2"/>
  <c r="N366" i="2"/>
  <c r="N367" i="2"/>
  <c r="N368" i="2"/>
  <c r="N369" i="2" s="1"/>
  <c r="N370" i="2"/>
  <c r="N371" i="2"/>
  <c r="N372" i="2"/>
  <c r="N373" i="2"/>
  <c r="N374" i="2"/>
  <c r="N375" i="2"/>
  <c r="N376" i="2"/>
  <c r="N377" i="2" s="1"/>
  <c r="N378" i="2" s="1"/>
  <c r="N379" i="2" s="1"/>
  <c r="N380" i="2" s="1"/>
  <c r="N381" i="2" s="1"/>
  <c r="N382" i="2"/>
  <c r="N383" i="2"/>
  <c r="N384" i="2" s="1"/>
  <c r="N385" i="2" s="1"/>
  <c r="N386" i="2"/>
  <c r="N387" i="2"/>
  <c r="N388" i="2" s="1"/>
  <c r="N389" i="2" s="1"/>
  <c r="N390" i="2"/>
  <c r="N391" i="2"/>
  <c r="N392" i="2"/>
  <c r="N393" i="2"/>
  <c r="N394" i="2"/>
  <c r="N395" i="2"/>
  <c r="N396" i="2" s="1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 s="1"/>
  <c r="N410" i="2" s="1"/>
  <c r="N411" i="2" s="1"/>
  <c r="N412" i="2" s="1"/>
  <c r="N413" i="2" s="1"/>
  <c r="N414" i="2" s="1"/>
  <c r="N415" i="2"/>
  <c r="N416" i="2"/>
  <c r="N417" i="2"/>
  <c r="N418" i="2"/>
  <c r="N419" i="2" s="1"/>
  <c r="N420" i="2" s="1"/>
  <c r="N421" i="2" s="1"/>
  <c r="N422" i="2" s="1"/>
  <c r="N423" i="2" s="1"/>
  <c r="N424" i="2"/>
  <c r="N425" i="2"/>
  <c r="N426" i="2"/>
  <c r="N427" i="2" s="1"/>
  <c r="N428" i="2" s="1"/>
  <c r="N429" i="2" s="1"/>
  <c r="N430" i="2" s="1"/>
  <c r="N431" i="2"/>
  <c r="N432" i="2"/>
  <c r="N433" i="2"/>
  <c r="N434" i="2"/>
  <c r="N435" i="2" s="1"/>
  <c r="N436" i="2"/>
  <c r="N437" i="2"/>
  <c r="N438" i="2" s="1"/>
  <c r="N439" i="2" s="1"/>
  <c r="N440" i="2" s="1"/>
  <c r="N441" i="2" s="1"/>
  <c r="N442" i="2"/>
  <c r="N443" i="2"/>
  <c r="N444" i="2"/>
  <c r="N445" i="2" s="1"/>
  <c r="N446" i="2" s="1"/>
  <c r="N447" i="2" s="1"/>
  <c r="N448" i="2" s="1"/>
  <c r="N449" i="2"/>
  <c r="N450" i="2"/>
  <c r="N451" i="2"/>
  <c r="N452" i="2" s="1"/>
  <c r="N453" i="2" s="1"/>
  <c r="N454" i="2" s="1"/>
  <c r="N455" i="2" s="1"/>
  <c r="N456" i="2" s="1"/>
  <c r="N457" i="2" s="1"/>
  <c r="N458" i="2"/>
  <c r="N459" i="2"/>
  <c r="N460" i="2"/>
  <c r="N461" i="2"/>
  <c r="N462" i="2"/>
  <c r="N463" i="2"/>
  <c r="N464" i="2" s="1"/>
  <c r="N465" i="2" s="1"/>
  <c r="N466" i="2" s="1"/>
  <c r="N467" i="2" s="1"/>
  <c r="N468" i="2"/>
  <c r="N469" i="2"/>
  <c r="N470" i="2"/>
  <c r="N471" i="2"/>
  <c r="N472" i="2" s="1"/>
  <c r="N473" i="2"/>
  <c r="N474" i="2"/>
  <c r="N475" i="2" s="1"/>
  <c r="N476" i="2"/>
  <c r="N477" i="2"/>
  <c r="N478" i="2"/>
  <c r="N479" i="2"/>
  <c r="N480" i="2"/>
  <c r="N481" i="2"/>
  <c r="N482" i="2"/>
  <c r="N483" i="2"/>
  <c r="N484" i="2"/>
  <c r="N485" i="2"/>
  <c r="N486" i="2" s="1"/>
  <c r="N487" i="2" s="1"/>
  <c r="N488" i="2" s="1"/>
  <c r="N489" i="2"/>
  <c r="N490" i="2"/>
  <c r="N491" i="2" s="1"/>
  <c r="N492" i="2" s="1"/>
  <c r="N493" i="2" s="1"/>
  <c r="N494" i="2" s="1"/>
  <c r="N495" i="2" s="1"/>
  <c r="N496" i="2" s="1"/>
  <c r="N497" i="2" s="1"/>
  <c r="N498" i="2"/>
  <c r="N499" i="2"/>
  <c r="N500" i="2"/>
  <c r="N501" i="2"/>
  <c r="N502" i="2"/>
  <c r="N503" i="2"/>
  <c r="N504" i="2"/>
  <c r="N505" i="2" s="1"/>
  <c r="N506" i="2" s="1"/>
  <c r="N507" i="2"/>
  <c r="N508" i="2"/>
  <c r="N509" i="2"/>
  <c r="N510" i="2"/>
  <c r="N511" i="2" s="1"/>
  <c r="N512" i="2" s="1"/>
  <c r="N513" i="2" s="1"/>
  <c r="N514" i="2"/>
  <c r="N515" i="2"/>
  <c r="N516" i="2"/>
  <c r="N517" i="2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/>
  <c r="N531" i="2"/>
  <c r="N532" i="2"/>
  <c r="N533" i="2"/>
  <c r="N534" i="2"/>
  <c r="N535" i="2"/>
  <c r="N536" i="2" s="1"/>
  <c r="N537" i="2" s="1"/>
  <c r="N538" i="2"/>
  <c r="N539" i="2"/>
  <c r="N540" i="2"/>
  <c r="N541" i="2" s="1"/>
  <c r="N542" i="2"/>
  <c r="N543" i="2"/>
  <c r="N544" i="2"/>
  <c r="N545" i="2"/>
  <c r="N546" i="2"/>
  <c r="N547" i="2" s="1"/>
  <c r="N548" i="2" s="1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 s="1"/>
  <c r="N565" i="2" s="1"/>
  <c r="N566" i="2" s="1"/>
  <c r="N567" i="2" s="1"/>
  <c r="N568" i="2" s="1"/>
  <c r="N569" i="2" s="1"/>
  <c r="N570" i="2" s="1"/>
  <c r="N571" i="2" s="1"/>
  <c r="N572" i="2" s="1"/>
  <c r="N573" i="2"/>
  <c r="N574" i="2"/>
  <c r="N575" i="2"/>
  <c r="N576" i="2"/>
  <c r="N577" i="2"/>
  <c r="N578" i="2"/>
  <c r="N579" i="2"/>
  <c r="N580" i="2" s="1"/>
  <c r="N581" i="2" s="1"/>
  <c r="N582" i="2"/>
  <c r="N583" i="2"/>
  <c r="N584" i="2" s="1"/>
  <c r="N585" i="2"/>
  <c r="N586" i="2"/>
  <c r="N587" i="2" s="1"/>
  <c r="N588" i="2"/>
  <c r="N589" i="2"/>
  <c r="N590" i="2"/>
  <c r="N591" i="2"/>
  <c r="N592" i="2"/>
  <c r="N593" i="2" s="1"/>
  <c r="N594" i="2"/>
  <c r="N595" i="2"/>
  <c r="N596" i="2" s="1"/>
  <c r="N597" i="2" s="1"/>
  <c r="N598" i="2"/>
  <c r="N599" i="2"/>
  <c r="N600" i="2"/>
  <c r="N601" i="2"/>
  <c r="N602" i="2"/>
  <c r="N603" i="2"/>
  <c r="N604" i="2"/>
  <c r="N605" i="2"/>
  <c r="N606" i="2"/>
  <c r="N607" i="2"/>
  <c r="N608" i="2" s="1"/>
  <c r="N609" i="2" s="1"/>
  <c r="N610" i="2" s="1"/>
  <c r="N611" i="2" s="1"/>
  <c r="N612" i="2"/>
  <c r="N613" i="2"/>
  <c r="N614" i="2" s="1"/>
  <c r="N615" i="2" s="1"/>
  <c r="N616" i="2"/>
  <c r="N617" i="2"/>
  <c r="N618" i="2" s="1"/>
  <c r="N619" i="2"/>
  <c r="N620" i="2"/>
  <c r="N621" i="2"/>
  <c r="N622" i="2"/>
  <c r="N623" i="2"/>
  <c r="N624" i="2"/>
  <c r="N625" i="2"/>
  <c r="N626" i="2" s="1"/>
  <c r="N627" i="2" s="1"/>
  <c r="N628" i="2"/>
  <c r="N629" i="2"/>
  <c r="N630" i="2" s="1"/>
  <c r="N631" i="2"/>
  <c r="N632" i="2"/>
  <c r="N633" i="2" s="1"/>
  <c r="N634" i="2" s="1"/>
  <c r="N635" i="2" s="1"/>
  <c r="N636" i="2" s="1"/>
  <c r="N637" i="2" s="1"/>
  <c r="N638" i="2"/>
  <c r="N639" i="2"/>
  <c r="N640" i="2"/>
  <c r="N641" i="2"/>
  <c r="N642" i="2"/>
  <c r="N643" i="2"/>
  <c r="N644" i="2" s="1"/>
  <c r="N645" i="2" s="1"/>
  <c r="N646" i="2"/>
  <c r="N647" i="2"/>
  <c r="N648" i="2"/>
  <c r="N649" i="2" s="1"/>
  <c r="N650" i="2" s="1"/>
  <c r="N651" i="2" s="1"/>
  <c r="N652" i="2"/>
  <c r="N653" i="2"/>
  <c r="N654" i="2"/>
  <c r="N655" i="2"/>
  <c r="N656" i="2"/>
  <c r="N657" i="2" s="1"/>
  <c r="N658" i="2"/>
  <c r="N659" i="2"/>
  <c r="N660" i="2"/>
  <c r="N661" i="2"/>
  <c r="N662" i="2"/>
  <c r="N663" i="2" s="1"/>
  <c r="N664" i="2" s="1"/>
  <c r="N665" i="2" s="1"/>
  <c r="N666" i="2" s="1"/>
  <c r="N667" i="2" s="1"/>
  <c r="N668" i="2"/>
  <c r="N669" i="2"/>
  <c r="N670" i="2" s="1"/>
  <c r="N671" i="2" s="1"/>
  <c r="N672" i="2" s="1"/>
  <c r="N673" i="2" s="1"/>
  <c r="N674" i="2"/>
  <c r="N675" i="2"/>
  <c r="N676" i="2"/>
  <c r="N677" i="2"/>
  <c r="N678" i="2"/>
  <c r="N679" i="2" s="1"/>
  <c r="N680" i="2" s="1"/>
  <c r="N681" i="2" s="1"/>
  <c r="N682" i="2"/>
  <c r="N683" i="2"/>
  <c r="N684" i="2"/>
  <c r="N685" i="2"/>
  <c r="N686" i="2" s="1"/>
  <c r="N687" i="2" s="1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 s="1"/>
  <c r="N702" i="2" s="1"/>
  <c r="N703" i="2" s="1"/>
  <c r="N704" i="2" s="1"/>
  <c r="N705" i="2" s="1"/>
  <c r="N706" i="2"/>
  <c r="N707" i="2"/>
  <c r="N708" i="2"/>
  <c r="N709" i="2" s="1"/>
  <c r="N710" i="2" s="1"/>
  <c r="N711" i="2" s="1"/>
  <c r="N712" i="2"/>
  <c r="N713" i="2"/>
  <c r="N714" i="2"/>
  <c r="N715" i="2" s="1"/>
  <c r="N716" i="2" s="1"/>
  <c r="N717" i="2"/>
  <c r="N718" i="2"/>
  <c r="N719" i="2"/>
  <c r="N720" i="2" s="1"/>
  <c r="N721" i="2"/>
  <c r="N722" i="2"/>
  <c r="N723" i="2"/>
  <c r="N724" i="2"/>
  <c r="N725" i="2"/>
  <c r="N726" i="2" s="1"/>
  <c r="N727" i="2" s="1"/>
  <c r="N728" i="2" s="1"/>
  <c r="N729" i="2" s="1"/>
  <c r="N730" i="2" s="1"/>
  <c r="N731" i="2" s="1"/>
  <c r="N732" i="2"/>
  <c r="N733" i="2"/>
  <c r="N734" i="2" s="1"/>
  <c r="N735" i="2" s="1"/>
  <c r="N736" i="2"/>
  <c r="N737" i="2"/>
  <c r="N738" i="2"/>
  <c r="N739" i="2"/>
  <c r="N740" i="2"/>
  <c r="N741" i="2"/>
  <c r="N742" i="2"/>
  <c r="N743" i="2"/>
  <c r="N744" i="2"/>
  <c r="N745" i="2"/>
  <c r="N746" i="2"/>
  <c r="N747" i="2" s="1"/>
  <c r="N748" i="2" s="1"/>
  <c r="N749" i="2"/>
  <c r="N750" i="2"/>
  <c r="N751" i="2" s="1"/>
  <c r="N752" i="2" s="1"/>
  <c r="N753" i="2"/>
  <c r="N754" i="2"/>
  <c r="N755" i="2"/>
  <c r="N756" i="2"/>
  <c r="N757" i="2" s="1"/>
  <c r="N758" i="2"/>
  <c r="N759" i="2"/>
  <c r="N760" i="2"/>
  <c r="N761" i="2"/>
  <c r="N762" i="2"/>
  <c r="N763" i="2"/>
  <c r="N764" i="2"/>
  <c r="N765" i="2" s="1"/>
  <c r="N766" i="2"/>
  <c r="N767" i="2"/>
  <c r="N768" i="2" s="1"/>
  <c r="N769" i="2"/>
  <c r="N770" i="2"/>
  <c r="N771" i="2"/>
  <c r="N772" i="2"/>
  <c r="N773" i="2"/>
  <c r="N774" i="2" s="1"/>
  <c r="N775" i="2" s="1"/>
  <c r="N776" i="2"/>
  <c r="N777" i="2"/>
  <c r="N778" i="2"/>
  <c r="N779" i="2"/>
  <c r="N780" i="2"/>
  <c r="N781" i="2"/>
  <c r="N782" i="2" s="1"/>
  <c r="N783" i="2"/>
  <c r="N784" i="2"/>
  <c r="N785" i="2"/>
  <c r="N786" i="2"/>
  <c r="N787" i="2"/>
  <c r="N788" i="2"/>
  <c r="N789" i="2"/>
  <c r="N790" i="2"/>
  <c r="N791" i="2" s="1"/>
  <c r="N792" i="2"/>
  <c r="N793" i="2"/>
  <c r="N794" i="2"/>
  <c r="N795" i="2"/>
  <c r="N796" i="2" s="1"/>
  <c r="N797" i="2" s="1"/>
  <c r="N798" i="2" s="1"/>
  <c r="N799" i="2"/>
  <c r="N800" i="2"/>
  <c r="N801" i="2"/>
  <c r="N802" i="2"/>
  <c r="N803" i="2"/>
  <c r="N804" i="2"/>
  <c r="N805" i="2"/>
  <c r="N806" i="2"/>
  <c r="N807" i="2"/>
  <c r="N808" i="2"/>
  <c r="N809" i="2" s="1"/>
  <c r="N810" i="2"/>
  <c r="N811" i="2"/>
  <c r="N812" i="2"/>
  <c r="N813" i="2"/>
  <c r="N814" i="2"/>
  <c r="N815" i="2"/>
  <c r="N816" i="2" s="1"/>
  <c r="N817" i="2" s="1"/>
  <c r="N818" i="2"/>
  <c r="N819" i="2"/>
  <c r="N820" i="2"/>
  <c r="N821" i="2"/>
  <c r="N822" i="2" s="1"/>
  <c r="N823" i="2"/>
  <c r="N824" i="2"/>
  <c r="N825" i="2"/>
  <c r="N826" i="2" s="1"/>
  <c r="N827" i="2" s="1"/>
  <c r="N828" i="2" s="1"/>
  <c r="N829" i="2" s="1"/>
  <c r="N830" i="2"/>
  <c r="N831" i="2"/>
  <c r="N832" i="2"/>
  <c r="N833" i="2"/>
  <c r="N834" i="2"/>
  <c r="N835" i="2"/>
  <c r="N836" i="2"/>
  <c r="N837" i="2"/>
  <c r="N838" i="2"/>
  <c r="N839" i="2"/>
  <c r="N840" i="2" s="1"/>
  <c r="N841" i="2"/>
  <c r="N842" i="2"/>
  <c r="N843" i="2"/>
  <c r="N844" i="2"/>
  <c r="N845" i="2" s="1"/>
  <c r="N846" i="2" s="1"/>
  <c r="N847" i="2" s="1"/>
  <c r="N848" i="2" s="1"/>
  <c r="N849" i="2" s="1"/>
  <c r="N850" i="2" s="1"/>
  <c r="N851" i="2" s="1"/>
  <c r="N852" i="2"/>
  <c r="N853" i="2"/>
  <c r="N854" i="2"/>
  <c r="N855" i="2"/>
  <c r="N856" i="2"/>
  <c r="N857" i="2"/>
  <c r="N858" i="2" s="1"/>
  <c r="N859" i="2" s="1"/>
  <c r="N860" i="2" s="1"/>
  <c r="N861" i="2" s="1"/>
  <c r="N862" i="2" s="1"/>
  <c r="N863" i="2" s="1"/>
  <c r="N864" i="2" s="1"/>
  <c r="N865" i="2" s="1"/>
  <c r="N866" i="2"/>
  <c r="N867" i="2"/>
  <c r="N868" i="2" s="1"/>
  <c r="N869" i="2" s="1"/>
  <c r="N870" i="2" s="1"/>
  <c r="N871" i="2"/>
  <c r="N872" i="2"/>
  <c r="N873" i="2"/>
  <c r="N874" i="2"/>
  <c r="N875" i="2" s="1"/>
  <c r="N876" i="2" s="1"/>
  <c r="N877" i="2"/>
  <c r="N878" i="2"/>
  <c r="N879" i="2" s="1"/>
  <c r="N880" i="2"/>
  <c r="N881" i="2"/>
  <c r="N882" i="2" s="1"/>
  <c r="N883" i="2" s="1"/>
  <c r="N884" i="2" s="1"/>
  <c r="N885" i="2" s="1"/>
  <c r="N886" i="2"/>
  <c r="N887" i="2"/>
  <c r="N888" i="2" s="1"/>
  <c r="N889" i="2" s="1"/>
  <c r="N890" i="2"/>
  <c r="N891" i="2"/>
  <c r="N892" i="2"/>
  <c r="N893" i="2"/>
  <c r="N894" i="2"/>
  <c r="N895" i="2" s="1"/>
  <c r="N896" i="2" s="1"/>
  <c r="N897" i="2" s="1"/>
  <c r="N898" i="2" s="1"/>
  <c r="N899" i="2" s="1"/>
  <c r="N900" i="2" s="1"/>
  <c r="N901" i="2" s="1"/>
  <c r="N902" i="2"/>
  <c r="N903" i="2"/>
  <c r="N904" i="2"/>
  <c r="N905" i="2"/>
  <c r="N906" i="2"/>
  <c r="N907" i="2"/>
  <c r="N908" i="2"/>
  <c r="N909" i="2"/>
  <c r="N910" i="2"/>
  <c r="N911" i="2"/>
  <c r="N912" i="2" s="1"/>
  <c r="N913" i="2" s="1"/>
  <c r="N914" i="2"/>
  <c r="N915" i="2"/>
  <c r="N916" i="2"/>
  <c r="N917" i="2"/>
  <c r="N918" i="2"/>
  <c r="N919" i="2"/>
  <c r="N920" i="2" s="1"/>
  <c r="N921" i="2"/>
  <c r="N922" i="2"/>
  <c r="N923" i="2"/>
  <c r="N924" i="2"/>
  <c r="N925" i="2"/>
  <c r="N926" i="2"/>
  <c r="N927" i="2"/>
  <c r="N928" i="2" s="1"/>
  <c r="N929" i="2" s="1"/>
  <c r="N930" i="2"/>
  <c r="N931" i="2"/>
  <c r="N932" i="2"/>
  <c r="N933" i="2"/>
  <c r="N934" i="2" s="1"/>
  <c r="N935" i="2" s="1"/>
  <c r="N936" i="2"/>
  <c r="N937" i="2"/>
  <c r="N938" i="2"/>
  <c r="N939" i="2"/>
  <c r="N940" i="2"/>
  <c r="N941" i="2"/>
  <c r="N942" i="2" s="1"/>
  <c r="N943" i="2" s="1"/>
  <c r="N944" i="2"/>
  <c r="N945" i="2"/>
  <c r="N946" i="2"/>
  <c r="N947" i="2"/>
  <c r="N948" i="2" s="1"/>
  <c r="N949" i="2"/>
  <c r="N950" i="2"/>
  <c r="N951" i="2"/>
  <c r="N952" i="2"/>
  <c r="N953" i="2" s="1"/>
  <c r="N954" i="2" s="1"/>
  <c r="N955" i="2"/>
  <c r="N956" i="2"/>
  <c r="N957" i="2"/>
  <c r="N958" i="2"/>
  <c r="N959" i="2"/>
  <c r="N960" i="2" s="1"/>
  <c r="N961" i="2"/>
  <c r="N962" i="2"/>
  <c r="N963" i="2"/>
  <c r="N964" i="2"/>
  <c r="N965" i="2"/>
  <c r="N966" i="2"/>
  <c r="N967" i="2"/>
  <c r="N968" i="2"/>
  <c r="N969" i="2"/>
  <c r="N970" i="2"/>
  <c r="N971" i="2" s="1"/>
  <c r="N972" i="2" s="1"/>
  <c r="N973" i="2" s="1"/>
  <c r="N974" i="2" s="1"/>
  <c r="N975" i="2"/>
  <c r="N976" i="2"/>
  <c r="N977" i="2" s="1"/>
  <c r="N978" i="2" s="1"/>
  <c r="N979" i="2"/>
  <c r="N980" i="2"/>
  <c r="N981" i="2"/>
  <c r="N982" i="2"/>
  <c r="N983" i="2" s="1"/>
  <c r="N984" i="2"/>
  <c r="N985" i="2"/>
  <c r="N986" i="2"/>
  <c r="N987" i="2" s="1"/>
  <c r="N988" i="2" s="1"/>
  <c r="N989" i="2" s="1"/>
  <c r="N990" i="2" s="1"/>
  <c r="N991" i="2" s="1"/>
  <c r="N992" i="2" s="1"/>
  <c r="N993" i="2"/>
  <c r="N994" i="2"/>
  <c r="N995" i="2"/>
  <c r="N996" i="2" s="1"/>
  <c r="N997" i="2" s="1"/>
  <c r="N998" i="2"/>
  <c r="N999" i="2"/>
  <c r="N1000" i="2"/>
  <c r="N1001" i="2"/>
  <c r="N1002" i="2"/>
  <c r="N1003" i="2"/>
  <c r="N1004" i="2" s="1"/>
  <c r="N1005" i="2"/>
  <c r="N1006" i="2"/>
  <c r="N1007" i="2"/>
  <c r="N1008" i="2" s="1"/>
  <c r="N1009" i="2" s="1"/>
  <c r="N1010" i="2"/>
  <c r="N1011" i="2"/>
  <c r="N1012" i="2" s="1"/>
  <c r="N1013" i="2" s="1"/>
  <c r="N1014" i="2" s="1"/>
  <c r="N1015" i="2" s="1"/>
  <c r="N1016" i="2" s="1"/>
  <c r="N1017" i="2"/>
  <c r="N1018" i="2"/>
  <c r="N1019" i="2"/>
  <c r="N1020" i="2" s="1"/>
  <c r="N1021" i="2" s="1"/>
  <c r="N1022" i="2"/>
  <c r="N1023" i="2"/>
  <c r="N1024" i="2"/>
  <c r="N1025" i="2" s="1"/>
  <c r="N1026" i="2"/>
  <c r="N1027" i="2"/>
  <c r="N1028" i="2"/>
  <c r="N1029" i="2"/>
  <c r="N1030" i="2"/>
  <c r="N1031" i="2"/>
  <c r="N1032" i="2"/>
  <c r="N1033" i="2"/>
  <c r="N1034" i="2" s="1"/>
  <c r="N1035" i="2" s="1"/>
  <c r="N1036" i="2" s="1"/>
  <c r="N1037" i="2"/>
  <c r="N1038" i="2"/>
  <c r="N1039" i="2" s="1"/>
  <c r="N1040" i="2" s="1"/>
  <c r="N1041" i="2" s="1"/>
  <c r="N1042" i="2" s="1"/>
  <c r="N1043" i="2" s="1"/>
  <c r="N1044" i="2" s="1"/>
  <c r="N1045" i="2"/>
  <c r="N1046" i="2"/>
  <c r="N1047" i="2" s="1"/>
  <c r="N1048" i="2" s="1"/>
  <c r="N1049" i="2" s="1"/>
  <c r="N1050" i="2"/>
  <c r="N1051" i="2"/>
  <c r="N1052" i="2"/>
  <c r="N1053" i="2"/>
  <c r="N1054" i="2"/>
  <c r="N1055" i="2"/>
  <c r="N1056" i="2"/>
  <c r="N1057" i="2"/>
  <c r="N1058" i="2"/>
  <c r="N1059" i="2" s="1"/>
  <c r="N1060" i="2" s="1"/>
  <c r="N1061" i="2"/>
  <c r="N1062" i="2"/>
  <c r="N1063" i="2"/>
  <c r="N1064" i="2"/>
  <c r="N1065" i="2"/>
  <c r="N1066" i="2"/>
  <c r="N1067" i="2"/>
  <c r="N1068" i="2"/>
  <c r="N1069" i="2" s="1"/>
  <c r="N1070" i="2" s="1"/>
  <c r="N1071" i="2"/>
  <c r="N1072" i="2"/>
  <c r="N1073" i="2"/>
  <c r="N1074" i="2" s="1"/>
  <c r="N1075" i="2" s="1"/>
  <c r="N1076" i="2" s="1"/>
  <c r="N1077" i="2"/>
  <c r="N1078" i="2"/>
  <c r="N1079" i="2"/>
  <c r="N1080" i="2"/>
  <c r="N1081" i="2"/>
  <c r="N1082" i="2"/>
  <c r="N1083" i="2"/>
  <c r="N1084" i="2" s="1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 s="1"/>
  <c r="N1101" i="2"/>
  <c r="N1102" i="2"/>
  <c r="N1103" i="2"/>
  <c r="N1104" i="2"/>
  <c r="N1105" i="2"/>
  <c r="N1106" i="2" s="1"/>
  <c r="N1107" i="2"/>
  <c r="N1108" i="2"/>
  <c r="N1109" i="2"/>
  <c r="N1110" i="2"/>
  <c r="N1111" i="2"/>
  <c r="N1112" i="2"/>
  <c r="N1113" i="2"/>
  <c r="N1114" i="2" s="1"/>
  <c r="N1115" i="2" s="1"/>
  <c r="N1116" i="2" s="1"/>
  <c r="N1117" i="2" s="1"/>
  <c r="N1118" i="2"/>
  <c r="N1119" i="2"/>
  <c r="N1120" i="2" s="1"/>
  <c r="N1121" i="2" s="1"/>
  <c r="N1122" i="2" s="1"/>
  <c r="N1123" i="2" s="1"/>
  <c r="N1124" i="2"/>
  <c r="N1125" i="2"/>
  <c r="N1126" i="2"/>
  <c r="N1127" i="2"/>
  <c r="N1128" i="2"/>
  <c r="N1129" i="2"/>
  <c r="N1130" i="2"/>
  <c r="N1131" i="2" s="1"/>
  <c r="N1132" i="2" s="1"/>
  <c r="N1133" i="2" s="1"/>
  <c r="N1134" i="2" s="1"/>
  <c r="N1135" i="2" s="1"/>
  <c r="N1136" i="2" s="1"/>
  <c r="N1137" i="2"/>
  <c r="N1138" i="2"/>
  <c r="N1139" i="2"/>
  <c r="N1140" i="2"/>
  <c r="N1141" i="2"/>
  <c r="N1142" i="2"/>
  <c r="N1143" i="2"/>
  <c r="N1144" i="2"/>
  <c r="N1145" i="2" s="1"/>
  <c r="N1146" i="2" s="1"/>
  <c r="N1147" i="2"/>
  <c r="N1148" i="2"/>
  <c r="N1149" i="2"/>
  <c r="N1150" i="2"/>
  <c r="N1151" i="2" s="1"/>
  <c r="N1152" i="2" s="1"/>
  <c r="N1153" i="2" s="1"/>
  <c r="N1154" i="2" s="1"/>
  <c r="N1155" i="2" s="1"/>
  <c r="N1156" i="2"/>
  <c r="N1157" i="2"/>
  <c r="N1158" i="2" s="1"/>
  <c r="N1159" i="2" s="1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/>
  <c r="N1170" i="2"/>
  <c r="N1171" i="2"/>
  <c r="N1172" i="2"/>
  <c r="N1173" i="2"/>
  <c r="N1174" i="2"/>
  <c r="N1175" i="2"/>
  <c r="N1176" i="2" s="1"/>
  <c r="N1177" i="2"/>
  <c r="N1178" i="2"/>
  <c r="N1179" i="2"/>
  <c r="N1180" i="2"/>
  <c r="N1181" i="2"/>
  <c r="N1182" i="2" s="1"/>
  <c r="N1183" i="2"/>
  <c r="N1184" i="2"/>
  <c r="N1185" i="2" s="1"/>
  <c r="N1186" i="2"/>
  <c r="N1187" i="2"/>
  <c r="N1188" i="2" s="1"/>
  <c r="N1189" i="2" s="1"/>
  <c r="N1190" i="2" s="1"/>
  <c r="N1191" i="2"/>
  <c r="N1192" i="2"/>
  <c r="N1193" i="2" s="1"/>
  <c r="N1194" i="2" s="1"/>
  <c r="N1195" i="2" s="1"/>
  <c r="N1196" i="2" s="1"/>
  <c r="N1197" i="2" s="1"/>
  <c r="N1198" i="2" s="1"/>
  <c r="N1199" i="2" s="1"/>
  <c r="N1200" i="2"/>
  <c r="N1201" i="2"/>
  <c r="N1202" i="2"/>
  <c r="N1203" i="2" s="1"/>
  <c r="N1204" i="2"/>
  <c r="N1205" i="2"/>
  <c r="N1206" i="2" s="1"/>
  <c r="N1207" i="2"/>
  <c r="N1208" i="2"/>
  <c r="N1209" i="2"/>
  <c r="N1210" i="2" s="1"/>
  <c r="N1211" i="2" s="1"/>
  <c r="N1212" i="2" s="1"/>
  <c r="N1213" i="2"/>
  <c r="N1214" i="2"/>
  <c r="N1215" i="2" s="1"/>
  <c r="N1216" i="2"/>
  <c r="N1217" i="2"/>
  <c r="N1218" i="2"/>
  <c r="N1219" i="2"/>
  <c r="N1220" i="2"/>
  <c r="N1221" i="2"/>
  <c r="N1222" i="2"/>
  <c r="N1223" i="2" s="1"/>
  <c r="N1224" i="2"/>
  <c r="N1225" i="2"/>
  <c r="N1226" i="2" s="1"/>
  <c r="N1227" i="2" s="1"/>
  <c r="N1228" i="2" s="1"/>
  <c r="N1229" i="2"/>
  <c r="N1230" i="2"/>
  <c r="N1231" i="2" s="1"/>
  <c r="N1232" i="2" s="1"/>
  <c r="N1233" i="2" s="1"/>
  <c r="N1234" i="2"/>
  <c r="N1235" i="2"/>
  <c r="N1236" i="2" s="1"/>
  <c r="N1237" i="2" s="1"/>
  <c r="N1238" i="2" s="1"/>
  <c r="N1239" i="2" s="1"/>
  <c r="N1240" i="2" s="1"/>
  <c r="N1241" i="2"/>
  <c r="M1242" i="2"/>
  <c r="O1242" i="2" l="1"/>
  <c r="N1242" i="2"/>
</calcChain>
</file>

<file path=xl/sharedStrings.xml><?xml version="1.0" encoding="utf-8"?>
<sst xmlns="http://schemas.openxmlformats.org/spreadsheetml/2006/main" count="4993" uniqueCount="24">
  <si>
    <t>date</t>
  </si>
  <si>
    <t>dayOfWeek</t>
  </si>
  <si>
    <t>side</t>
  </si>
  <si>
    <t>entryTime</t>
  </si>
  <si>
    <t>entry_price</t>
  </si>
  <si>
    <t>exitTime</t>
  </si>
  <si>
    <t>exit_price</t>
  </si>
  <si>
    <t>sl</t>
  </si>
  <si>
    <t>tp</t>
  </si>
  <si>
    <t>exit_reason</t>
  </si>
  <si>
    <t>pnl_points</t>
  </si>
  <si>
    <t>r_multiple</t>
  </si>
  <si>
    <t>battingAvg</t>
  </si>
  <si>
    <t>SHORT</t>
  </si>
  <si>
    <t>TP</t>
  </si>
  <si>
    <t>SL</t>
  </si>
  <si>
    <t>LONG</t>
  </si>
  <si>
    <t>SL_same_bar</t>
  </si>
  <si>
    <t>EOD</t>
  </si>
  <si>
    <t>maxDD</t>
  </si>
  <si>
    <t>maxWW</t>
  </si>
  <si>
    <t>x</t>
  </si>
  <si>
    <t>Column1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</si>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</sst>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18" fillId="0" borderId="0" xfId="0" applyNumberFormat="1" applyFont="1"/>
    <xf numFmtId="0" fontId="18" fillId="0" borderId="0" xfId="0" applyFont="1"/>
    <xf numFmtId="20" fontId="18" fillId="0" borderId="0" xfId="0" applyNumberFormat="1" applyFont="1"/>
    <xf numFmtId="14" fontId="19" fillId="0" borderId="0" xfId="0" applyNumberFormat="1" applyFont="1"/>
    <xf numFmtId="0" fontId="19" fillId="0" borderId="0" xfId="0" applyFont="1"/>
    <xf numFmtId="20" fontId="19" fillId="0" borderId="0" xfId="0" applyNumberFormat="1" applyFont="1"/>
    <xf numFmtId="2" fontId="0" fillId="0" borderId="0" xfId="0" applyNumberFormat="1"/>
    <xf numFmtId="2" fontId="19" fillId="0" borderId="0" xfId="0" applyNumberFormat="1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5" formatCode="h:mm"/>
    </dxf>
    <dxf>
      <numFmt numFmtId="25" formatCode="h:mm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4F394-9C8C-2843-98E0-9F7CDAF1D1D0}" name="Table1" displayName="Table1" ref="A1:P1242" totalsRowCount="1">
  <autoFilter ref="A1:P1241" xr:uid="{67D4F394-9C8C-2843-98E0-9F7CDAF1D1D0}"/>
  <tableColumns count="16">
    <tableColumn id="1" xr3:uid="{25323CD6-9F1D-B54C-A33D-875C8E2ADEE6}" name="date" totalsRowFunction="count" dataDxfId="6"/>
    <tableColumn id="2" xr3:uid="{71F16D1F-0E0D-7F41-BA05-04D994ED56C8}" name="dayOfWeek"/>
    <tableColumn id="3" xr3:uid="{4E4E02B7-BB75-4148-B90C-927F90A33056}" name="side"/>
    <tableColumn id="4" xr3:uid="{5291A4C2-961C-EE46-839D-F70BB35105EF}" name="entryTime" dataDxfId="5"/>
    <tableColumn id="5" xr3:uid="{D3AA1E5B-438D-104B-A3A7-7705E7F4ED0E}" name="entry_price"/>
    <tableColumn id="6" xr3:uid="{CA6D5B9B-4869-9E42-AA0A-7C49681AC2C9}" name="exitTime" dataDxfId="4"/>
    <tableColumn id="7" xr3:uid="{A7DE2BEA-122A-1248-B635-0A59D67DD448}" name="exit_price"/>
    <tableColumn id="8" xr3:uid="{9505B226-D7A8-244D-A9FC-9CA741846D59}" name="sl"/>
    <tableColumn id="9" xr3:uid="{530E8811-7A93-594B-9AD0-DC4112FB4F2E}" name="tp"/>
    <tableColumn id="10" xr3:uid="{EEE0459E-EDBE-A04F-AD73-FFDF307E3534}" name="exit_reason"/>
    <tableColumn id="11" xr3:uid="{5E9E3444-9F6A-F249-A247-AFC4944D7CAD}" name="pnl_points"/>
    <tableColumn id="12" xr3:uid="{A741CBED-FBE9-3A42-B557-08B6366633DB}" name="r_multiple" totalsRowFunction="average" dataDxfId="3" totalsRowDxfId="0"/>
    <tableColumn id="13" xr3:uid="{84F1E8BB-3B12-C341-B83F-1D34758275A0}" name="battingAvg" totalsRowFunction="average"/>
    <tableColumn id="14" xr3:uid="{42986355-69CC-6A49-9C5D-3BE518AEEE21}" name="maxDD" totalsRowFunction="max" dataDxfId="2">
      <calculatedColumnFormula>IF(M2=0, IF(M1=0, N1+1, 1), 0)</calculatedColumnFormula>
    </tableColumn>
    <tableColumn id="16" xr3:uid="{E26520FA-6F0E-8643-B510-8DA3EF180D24}" name="maxWW" totalsRowFunction="max" dataDxfId="1">
      <calculatedColumnFormula>IF(M2=1, IF(M1=1, O1+1, 1), 0)</calculatedColumnFormula>
    </tableColumn>
    <tableColumn id="15" xr3:uid="{A9C4A64F-D373-F34F-853B-693E6193E00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B932-A3B6-6F47-A894-2F6EB53897D0}">
  <dimension ref="A1:N1241"/>
  <sheetViews>
    <sheetView workbookViewId="0">
      <selection activeCell="K26" sqref="K26"/>
    </sheetView>
  </sheetViews>
  <sheetFormatPr baseColWidth="10" defaultRowHeight="16" x14ac:dyDescent="0.2"/>
  <cols>
    <col min="12" max="12" width="10.83203125" style="9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 t="s">
        <v>11</v>
      </c>
      <c r="M1" t="s">
        <v>12</v>
      </c>
      <c r="N1" t="s">
        <v>19</v>
      </c>
    </row>
    <row r="2" spans="1:14" x14ac:dyDescent="0.2">
      <c r="A2" s="1">
        <v>44929</v>
      </c>
      <c r="B2">
        <v>2</v>
      </c>
      <c r="C2" t="s">
        <v>13</v>
      </c>
      <c r="D2" s="2">
        <v>0.41666666666666669</v>
      </c>
      <c r="E2">
        <v>10923.8</v>
      </c>
      <c r="F2" s="2">
        <v>0.41805555555555557</v>
      </c>
      <c r="G2">
        <v>10904.68</v>
      </c>
      <c r="H2">
        <v>10931.44</v>
      </c>
      <c r="I2">
        <v>10904.68</v>
      </c>
      <c r="J2" t="s">
        <v>14</v>
      </c>
      <c r="K2">
        <v>19.12</v>
      </c>
      <c r="L2" s="9">
        <v>2.5</v>
      </c>
      <c r="M2">
        <v>1</v>
      </c>
      <c r="N2">
        <v>0</v>
      </c>
    </row>
    <row r="3" spans="1:14" x14ac:dyDescent="0.2">
      <c r="A3" s="1">
        <v>44932</v>
      </c>
      <c r="B3">
        <v>5</v>
      </c>
      <c r="C3" t="s">
        <v>13</v>
      </c>
      <c r="D3" s="2">
        <v>0.40694444444444444</v>
      </c>
      <c r="E3">
        <v>10720.02</v>
      </c>
      <c r="F3" s="2">
        <v>0.40763888888888888</v>
      </c>
      <c r="G3">
        <v>10727.53</v>
      </c>
      <c r="H3">
        <v>10727.53</v>
      </c>
      <c r="I3">
        <v>10701.26</v>
      </c>
      <c r="J3" t="s">
        <v>15</v>
      </c>
      <c r="K3">
        <v>-7.5</v>
      </c>
      <c r="L3" s="9">
        <v>-1</v>
      </c>
      <c r="M3">
        <v>0</v>
      </c>
      <c r="N3">
        <v>0</v>
      </c>
    </row>
    <row r="4" spans="1:14" x14ac:dyDescent="0.2">
      <c r="A4" s="1">
        <v>44932</v>
      </c>
      <c r="B4">
        <v>5</v>
      </c>
      <c r="C4" t="s">
        <v>16</v>
      </c>
      <c r="D4" s="2">
        <v>0.42499999999999999</v>
      </c>
      <c r="E4">
        <v>10815.06</v>
      </c>
      <c r="F4" s="2">
        <v>0.42569444444444443</v>
      </c>
      <c r="G4">
        <v>10833.98</v>
      </c>
      <c r="H4">
        <v>10807.49</v>
      </c>
      <c r="I4">
        <v>10833.98</v>
      </c>
      <c r="J4" t="s">
        <v>14</v>
      </c>
      <c r="K4">
        <v>18.93</v>
      </c>
      <c r="L4" s="9">
        <v>2.5</v>
      </c>
      <c r="M4">
        <v>1</v>
      </c>
      <c r="N4">
        <v>0</v>
      </c>
    </row>
    <row r="5" spans="1:14" x14ac:dyDescent="0.2">
      <c r="A5" s="1">
        <v>44932</v>
      </c>
      <c r="B5">
        <v>5</v>
      </c>
      <c r="C5" t="s">
        <v>16</v>
      </c>
      <c r="D5" s="2">
        <v>0.44583333333333336</v>
      </c>
      <c r="E5">
        <v>10879.38</v>
      </c>
      <c r="F5" s="2">
        <v>0.44722222222222224</v>
      </c>
      <c r="G5">
        <v>10871.76</v>
      </c>
      <c r="H5">
        <v>10871.76</v>
      </c>
      <c r="I5">
        <v>10898.42</v>
      </c>
      <c r="J5" t="s">
        <v>15</v>
      </c>
      <c r="K5">
        <v>-7.62</v>
      </c>
      <c r="L5" s="9">
        <v>-1</v>
      </c>
      <c r="M5">
        <v>0</v>
      </c>
      <c r="N5">
        <v>0</v>
      </c>
    </row>
    <row r="6" spans="1:14" x14ac:dyDescent="0.2">
      <c r="A6" s="1">
        <v>44935</v>
      </c>
      <c r="B6">
        <v>1</v>
      </c>
      <c r="C6" t="s">
        <v>16</v>
      </c>
      <c r="D6" s="2">
        <v>0.39583333333333331</v>
      </c>
      <c r="E6">
        <v>11122.95</v>
      </c>
      <c r="F6" s="2">
        <v>0.39652777777777776</v>
      </c>
      <c r="G6">
        <v>11142.41</v>
      </c>
      <c r="H6">
        <v>11115.16</v>
      </c>
      <c r="I6">
        <v>11142.41</v>
      </c>
      <c r="J6" t="s">
        <v>14</v>
      </c>
      <c r="K6">
        <v>19.47</v>
      </c>
      <c r="L6" s="9">
        <v>2.5</v>
      </c>
      <c r="M6">
        <v>1</v>
      </c>
      <c r="N6">
        <v>0</v>
      </c>
    </row>
    <row r="7" spans="1:14" x14ac:dyDescent="0.2">
      <c r="A7" s="1">
        <v>44935</v>
      </c>
      <c r="B7">
        <v>1</v>
      </c>
      <c r="C7" t="s">
        <v>16</v>
      </c>
      <c r="D7" s="2">
        <v>0.44444444444444442</v>
      </c>
      <c r="E7">
        <v>11262.52</v>
      </c>
      <c r="F7" s="2">
        <v>0.44583333333333336</v>
      </c>
      <c r="G7">
        <v>11254.63</v>
      </c>
      <c r="H7">
        <v>11254.63</v>
      </c>
      <c r="I7">
        <v>11282.23</v>
      </c>
      <c r="J7" t="s">
        <v>15</v>
      </c>
      <c r="K7">
        <v>-7.88</v>
      </c>
      <c r="L7" s="9">
        <v>-1</v>
      </c>
      <c r="M7">
        <v>0</v>
      </c>
      <c r="N7">
        <v>0</v>
      </c>
    </row>
    <row r="8" spans="1:14" x14ac:dyDescent="0.2">
      <c r="A8" s="1">
        <v>44936</v>
      </c>
      <c r="B8">
        <v>2</v>
      </c>
      <c r="C8" t="s">
        <v>16</v>
      </c>
      <c r="D8" s="2">
        <v>0.40138888888888891</v>
      </c>
      <c r="E8">
        <v>11141.34</v>
      </c>
      <c r="F8" s="2">
        <v>0.40208333333333335</v>
      </c>
      <c r="G8">
        <v>11133.55</v>
      </c>
      <c r="H8">
        <v>11133.55</v>
      </c>
      <c r="I8">
        <v>11160.84</v>
      </c>
      <c r="J8" t="s">
        <v>15</v>
      </c>
      <c r="K8">
        <v>-7.8</v>
      </c>
      <c r="L8" s="9">
        <v>-1</v>
      </c>
      <c r="M8">
        <v>0</v>
      </c>
      <c r="N8">
        <v>2</v>
      </c>
    </row>
    <row r="9" spans="1:14" x14ac:dyDescent="0.2">
      <c r="A9" s="1">
        <v>44936</v>
      </c>
      <c r="B9">
        <v>2</v>
      </c>
      <c r="C9" t="s">
        <v>16</v>
      </c>
      <c r="D9" s="2">
        <v>0.42222222222222222</v>
      </c>
      <c r="E9">
        <v>11135.14</v>
      </c>
      <c r="F9" s="2">
        <v>0.4236111111111111</v>
      </c>
      <c r="G9">
        <v>11154.63</v>
      </c>
      <c r="H9">
        <v>11127.35</v>
      </c>
      <c r="I9">
        <v>11154.63</v>
      </c>
      <c r="J9" t="s">
        <v>14</v>
      </c>
      <c r="K9">
        <v>19.489999999999998</v>
      </c>
      <c r="L9" s="9">
        <v>2.5</v>
      </c>
      <c r="M9">
        <v>1</v>
      </c>
      <c r="N9">
        <v>0</v>
      </c>
    </row>
    <row r="10" spans="1:14" x14ac:dyDescent="0.2">
      <c r="A10" s="1">
        <v>44936</v>
      </c>
      <c r="B10">
        <v>2</v>
      </c>
      <c r="C10" t="s">
        <v>13</v>
      </c>
      <c r="D10" s="2">
        <v>0.44305555555555554</v>
      </c>
      <c r="E10">
        <v>11084.56</v>
      </c>
      <c r="F10" s="2">
        <v>0.44374999999999998</v>
      </c>
      <c r="G10">
        <v>11092.31</v>
      </c>
      <c r="H10">
        <v>11092.31</v>
      </c>
      <c r="I10">
        <v>11065.16</v>
      </c>
      <c r="J10" t="s">
        <v>15</v>
      </c>
      <c r="K10">
        <v>-7.76</v>
      </c>
      <c r="L10" s="9">
        <v>-1</v>
      </c>
      <c r="M10">
        <v>0</v>
      </c>
      <c r="N10">
        <v>0</v>
      </c>
    </row>
    <row r="11" spans="1:14" x14ac:dyDescent="0.2">
      <c r="A11" s="1">
        <v>44937</v>
      </c>
      <c r="B11">
        <v>3</v>
      </c>
      <c r="C11" t="s">
        <v>16</v>
      </c>
      <c r="D11" s="2">
        <v>0.42569444444444443</v>
      </c>
      <c r="E11">
        <v>11278.24</v>
      </c>
      <c r="F11" s="2">
        <v>0.43263888888888891</v>
      </c>
      <c r="G11">
        <v>11297.98</v>
      </c>
      <c r="H11">
        <v>11270.35</v>
      </c>
      <c r="I11">
        <v>11297.98</v>
      </c>
      <c r="J11" t="s">
        <v>14</v>
      </c>
      <c r="K11">
        <v>19.739999999999998</v>
      </c>
      <c r="L11" s="9">
        <v>2.5</v>
      </c>
      <c r="M11">
        <v>1</v>
      </c>
      <c r="N11">
        <v>0</v>
      </c>
    </row>
    <row r="12" spans="1:14" x14ac:dyDescent="0.2">
      <c r="A12" s="1">
        <v>44937</v>
      </c>
      <c r="B12">
        <v>3</v>
      </c>
      <c r="C12" t="s">
        <v>13</v>
      </c>
      <c r="D12" s="2">
        <v>0.45763888888888887</v>
      </c>
      <c r="E12">
        <v>11247.59</v>
      </c>
      <c r="F12" s="2">
        <v>0.46041666666666664</v>
      </c>
      <c r="G12">
        <v>11255.46</v>
      </c>
      <c r="H12">
        <v>11255.46</v>
      </c>
      <c r="I12">
        <v>11227.9</v>
      </c>
      <c r="J12" t="s">
        <v>15</v>
      </c>
      <c r="K12">
        <v>-7.87</v>
      </c>
      <c r="L12" s="9">
        <v>-1</v>
      </c>
      <c r="M12">
        <v>0</v>
      </c>
      <c r="N12">
        <v>0</v>
      </c>
    </row>
    <row r="13" spans="1:14" x14ac:dyDescent="0.2">
      <c r="A13" s="1">
        <v>44938</v>
      </c>
      <c r="B13">
        <v>4</v>
      </c>
      <c r="C13" t="s">
        <v>13</v>
      </c>
      <c r="D13" s="2">
        <v>0.40208333333333335</v>
      </c>
      <c r="E13">
        <v>11366.96</v>
      </c>
      <c r="F13" s="2">
        <v>0.40277777777777779</v>
      </c>
      <c r="G13">
        <v>11374.92</v>
      </c>
      <c r="H13">
        <v>11374.92</v>
      </c>
      <c r="I13">
        <v>11347.07</v>
      </c>
      <c r="J13" t="s">
        <v>17</v>
      </c>
      <c r="K13">
        <v>-7.96</v>
      </c>
      <c r="L13" s="9">
        <v>-1</v>
      </c>
      <c r="M13">
        <v>0</v>
      </c>
      <c r="N13">
        <v>2</v>
      </c>
    </row>
    <row r="14" spans="1:14" x14ac:dyDescent="0.2">
      <c r="A14" s="1">
        <v>44938</v>
      </c>
      <c r="B14">
        <v>4</v>
      </c>
      <c r="C14" t="s">
        <v>16</v>
      </c>
      <c r="D14" s="2">
        <v>0.42916666666666664</v>
      </c>
      <c r="E14">
        <v>11404.86</v>
      </c>
      <c r="F14" s="2">
        <v>0.42986111111111114</v>
      </c>
      <c r="G14">
        <v>11424.82</v>
      </c>
      <c r="H14">
        <v>11396.87</v>
      </c>
      <c r="I14">
        <v>11424.82</v>
      </c>
      <c r="J14" t="s">
        <v>14</v>
      </c>
      <c r="K14">
        <v>19.96</v>
      </c>
      <c r="L14" s="9">
        <v>2.5</v>
      </c>
      <c r="M14">
        <v>1</v>
      </c>
      <c r="N14">
        <v>0</v>
      </c>
    </row>
    <row r="15" spans="1:14" x14ac:dyDescent="0.2">
      <c r="A15" s="1">
        <v>44939</v>
      </c>
      <c r="B15">
        <v>5</v>
      </c>
      <c r="C15" t="s">
        <v>16</v>
      </c>
      <c r="D15" s="2">
        <v>0.3972222222222222</v>
      </c>
      <c r="E15">
        <v>11360.49</v>
      </c>
      <c r="F15" s="2">
        <v>0.39791666666666664</v>
      </c>
      <c r="G15">
        <v>11352.53</v>
      </c>
      <c r="H15">
        <v>11352.53</v>
      </c>
      <c r="I15">
        <v>11380.37</v>
      </c>
      <c r="J15" t="s">
        <v>15</v>
      </c>
      <c r="K15">
        <v>-7.95</v>
      </c>
      <c r="L15" s="9">
        <v>-1</v>
      </c>
      <c r="M15">
        <v>0</v>
      </c>
      <c r="N15">
        <v>0</v>
      </c>
    </row>
    <row r="16" spans="1:14" x14ac:dyDescent="0.2">
      <c r="A16" s="1">
        <v>44939</v>
      </c>
      <c r="B16">
        <v>5</v>
      </c>
      <c r="C16" t="s">
        <v>16</v>
      </c>
      <c r="D16" s="2">
        <v>0.4513888888888889</v>
      </c>
      <c r="E16">
        <v>11456.48</v>
      </c>
      <c r="F16" s="2">
        <v>0.45208333333333334</v>
      </c>
      <c r="G16">
        <v>11448.46</v>
      </c>
      <c r="H16">
        <v>11448.46</v>
      </c>
      <c r="I16">
        <v>11476.53</v>
      </c>
      <c r="J16" t="s">
        <v>15</v>
      </c>
      <c r="K16">
        <v>-8.02</v>
      </c>
      <c r="L16" s="9">
        <v>-1</v>
      </c>
      <c r="M16">
        <v>0</v>
      </c>
      <c r="N16">
        <v>2</v>
      </c>
    </row>
    <row r="17" spans="1:14" x14ac:dyDescent="0.2">
      <c r="A17" s="1">
        <v>44942</v>
      </c>
      <c r="B17">
        <v>1</v>
      </c>
      <c r="C17" t="s">
        <v>13</v>
      </c>
      <c r="D17" s="2">
        <v>0.42708333333333331</v>
      </c>
      <c r="E17">
        <v>11516.38</v>
      </c>
      <c r="F17" s="2">
        <v>0.43194444444444446</v>
      </c>
      <c r="G17">
        <v>11524.45</v>
      </c>
      <c r="H17">
        <v>11524.45</v>
      </c>
      <c r="I17">
        <v>11496.23</v>
      </c>
      <c r="J17" t="s">
        <v>15</v>
      </c>
      <c r="K17">
        <v>-8.06</v>
      </c>
      <c r="L17" s="9">
        <v>-1</v>
      </c>
      <c r="M17">
        <v>0</v>
      </c>
      <c r="N17">
        <v>3</v>
      </c>
    </row>
    <row r="18" spans="1:14" x14ac:dyDescent="0.2">
      <c r="A18" s="1">
        <v>44942</v>
      </c>
      <c r="B18">
        <v>1</v>
      </c>
      <c r="C18" t="s">
        <v>16</v>
      </c>
      <c r="D18" s="2">
        <v>0.44097222222222221</v>
      </c>
      <c r="E18">
        <v>11531.31</v>
      </c>
      <c r="F18" s="2">
        <v>0.47152777777777777</v>
      </c>
      <c r="G18">
        <v>11523.24</v>
      </c>
      <c r="H18">
        <v>11523.24</v>
      </c>
      <c r="I18">
        <v>11551.49</v>
      </c>
      <c r="J18" t="s">
        <v>15</v>
      </c>
      <c r="K18">
        <v>-8.07</v>
      </c>
      <c r="L18" s="9">
        <v>-1</v>
      </c>
      <c r="M18">
        <v>0</v>
      </c>
      <c r="N18">
        <v>4</v>
      </c>
    </row>
    <row r="19" spans="1:14" x14ac:dyDescent="0.2">
      <c r="A19" s="1">
        <v>44943</v>
      </c>
      <c r="B19">
        <v>2</v>
      </c>
      <c r="C19" t="s">
        <v>16</v>
      </c>
      <c r="D19" s="2">
        <v>0.39583333333333331</v>
      </c>
      <c r="E19">
        <v>11537.27</v>
      </c>
      <c r="F19" s="2">
        <v>0.39791666666666664</v>
      </c>
      <c r="G19">
        <v>11529.2</v>
      </c>
      <c r="H19">
        <v>11529.2</v>
      </c>
      <c r="I19">
        <v>11557.46</v>
      </c>
      <c r="J19" t="s">
        <v>15</v>
      </c>
      <c r="K19">
        <v>-8.08</v>
      </c>
      <c r="L19" s="9">
        <v>-1</v>
      </c>
      <c r="M19">
        <v>0</v>
      </c>
      <c r="N19">
        <v>5</v>
      </c>
    </row>
    <row r="20" spans="1:14" x14ac:dyDescent="0.2">
      <c r="A20" s="1">
        <v>44943</v>
      </c>
      <c r="B20">
        <v>2</v>
      </c>
      <c r="C20" t="s">
        <v>16</v>
      </c>
      <c r="D20" s="2">
        <v>0.42152777777777778</v>
      </c>
      <c r="E20">
        <v>11597.4</v>
      </c>
      <c r="F20" s="2">
        <v>0.4236111111111111</v>
      </c>
      <c r="G20">
        <v>11617.7</v>
      </c>
      <c r="H20">
        <v>11589.28</v>
      </c>
      <c r="I20">
        <v>11617.7</v>
      </c>
      <c r="J20" t="s">
        <v>14</v>
      </c>
      <c r="K20">
        <v>20.3</v>
      </c>
      <c r="L20" s="9">
        <v>2.5</v>
      </c>
      <c r="M20">
        <v>1</v>
      </c>
      <c r="N20">
        <v>0</v>
      </c>
    </row>
    <row r="21" spans="1:14" x14ac:dyDescent="0.2">
      <c r="A21" s="1">
        <v>44943</v>
      </c>
      <c r="B21">
        <v>2</v>
      </c>
      <c r="C21" t="s">
        <v>13</v>
      </c>
      <c r="D21" s="2">
        <v>0.44444444444444442</v>
      </c>
      <c r="E21">
        <v>11569.13</v>
      </c>
      <c r="F21" s="2">
        <v>0.44513888888888886</v>
      </c>
      <c r="G21">
        <v>11548.88</v>
      </c>
      <c r="H21">
        <v>11577.23</v>
      </c>
      <c r="I21">
        <v>11548.88</v>
      </c>
      <c r="J21" t="s">
        <v>14</v>
      </c>
      <c r="K21">
        <v>20.25</v>
      </c>
      <c r="L21" s="9">
        <v>2.5</v>
      </c>
      <c r="M21">
        <v>1</v>
      </c>
      <c r="N21">
        <v>2</v>
      </c>
    </row>
    <row r="22" spans="1:14" x14ac:dyDescent="0.2">
      <c r="A22" s="1">
        <v>44944</v>
      </c>
      <c r="B22">
        <v>3</v>
      </c>
      <c r="C22" t="s">
        <v>13</v>
      </c>
      <c r="D22" s="2">
        <v>0.40833333333333333</v>
      </c>
      <c r="E22">
        <v>11620.58</v>
      </c>
      <c r="F22" s="2">
        <v>0.40902777777777777</v>
      </c>
      <c r="G22">
        <v>11628.72</v>
      </c>
      <c r="H22">
        <v>11628.72</v>
      </c>
      <c r="I22">
        <v>11600.25</v>
      </c>
      <c r="J22" t="s">
        <v>15</v>
      </c>
      <c r="K22">
        <v>-8.1300000000000008</v>
      </c>
      <c r="L22" s="9">
        <v>-1</v>
      </c>
      <c r="M22">
        <v>0</v>
      </c>
      <c r="N22">
        <v>0</v>
      </c>
    </row>
    <row r="23" spans="1:14" x14ac:dyDescent="0.2">
      <c r="A23" s="1">
        <v>44944</v>
      </c>
      <c r="B23">
        <v>3</v>
      </c>
      <c r="C23" t="s">
        <v>16</v>
      </c>
      <c r="D23" s="2">
        <v>0.41944444444444445</v>
      </c>
      <c r="E23">
        <v>11667.85</v>
      </c>
      <c r="F23" s="2">
        <v>0.42083333333333334</v>
      </c>
      <c r="G23">
        <v>11688.27</v>
      </c>
      <c r="H23">
        <v>11659.68</v>
      </c>
      <c r="I23">
        <v>11688.27</v>
      </c>
      <c r="J23" t="s">
        <v>14</v>
      </c>
      <c r="K23">
        <v>20.420000000000002</v>
      </c>
      <c r="L23" s="9">
        <v>2.5</v>
      </c>
      <c r="M23">
        <v>1</v>
      </c>
      <c r="N23">
        <v>0</v>
      </c>
    </row>
    <row r="24" spans="1:14" x14ac:dyDescent="0.2">
      <c r="A24" s="1">
        <v>44944</v>
      </c>
      <c r="B24">
        <v>3</v>
      </c>
      <c r="C24" t="s">
        <v>13</v>
      </c>
      <c r="D24" s="2">
        <v>0.44097222222222221</v>
      </c>
      <c r="E24">
        <v>11626.96</v>
      </c>
      <c r="F24" s="2">
        <v>0.44236111111111109</v>
      </c>
      <c r="G24">
        <v>11606.62</v>
      </c>
      <c r="H24">
        <v>11635.1</v>
      </c>
      <c r="I24">
        <v>11606.62</v>
      </c>
      <c r="J24" t="s">
        <v>14</v>
      </c>
      <c r="K24">
        <v>20.350000000000001</v>
      </c>
      <c r="L24" s="9">
        <v>2.5</v>
      </c>
      <c r="M24">
        <v>1</v>
      </c>
      <c r="N24">
        <v>2</v>
      </c>
    </row>
    <row r="25" spans="1:14" x14ac:dyDescent="0.2">
      <c r="A25" s="1">
        <v>44945</v>
      </c>
      <c r="B25">
        <v>4</v>
      </c>
      <c r="C25" t="s">
        <v>16</v>
      </c>
      <c r="D25" s="2">
        <v>0.39930555555555558</v>
      </c>
      <c r="E25">
        <v>11357.74</v>
      </c>
      <c r="F25" s="2">
        <v>0.4</v>
      </c>
      <c r="G25">
        <v>11349.78</v>
      </c>
      <c r="H25">
        <v>11349.78</v>
      </c>
      <c r="I25">
        <v>11377.61</v>
      </c>
      <c r="J25" t="s">
        <v>15</v>
      </c>
      <c r="K25">
        <v>-7.95</v>
      </c>
      <c r="L25" s="9">
        <v>-1</v>
      </c>
      <c r="M25">
        <v>0</v>
      </c>
      <c r="N25">
        <v>0</v>
      </c>
    </row>
    <row r="26" spans="1:14" x14ac:dyDescent="0.2">
      <c r="A26" s="1">
        <v>44945</v>
      </c>
      <c r="B26">
        <v>4</v>
      </c>
      <c r="C26" t="s">
        <v>13</v>
      </c>
      <c r="D26" s="2">
        <v>0.44097222222222221</v>
      </c>
      <c r="E26">
        <v>11304.5</v>
      </c>
      <c r="F26" s="2">
        <v>0.44305555555555554</v>
      </c>
      <c r="G26">
        <v>11312.41</v>
      </c>
      <c r="H26">
        <v>11312.41</v>
      </c>
      <c r="I26">
        <v>11284.71</v>
      </c>
      <c r="J26" t="s">
        <v>15</v>
      </c>
      <c r="K26">
        <v>-7.91</v>
      </c>
      <c r="L26" s="9">
        <v>-1</v>
      </c>
      <c r="M26">
        <v>0</v>
      </c>
      <c r="N26">
        <v>2</v>
      </c>
    </row>
    <row r="27" spans="1:14" x14ac:dyDescent="0.2">
      <c r="A27" s="1">
        <v>44945</v>
      </c>
      <c r="B27">
        <v>4</v>
      </c>
      <c r="C27" t="s">
        <v>13</v>
      </c>
      <c r="D27" s="2">
        <v>0.45208333333333334</v>
      </c>
      <c r="E27">
        <v>11290.66</v>
      </c>
      <c r="F27" s="2">
        <v>0.4548611111111111</v>
      </c>
      <c r="G27">
        <v>11270.9</v>
      </c>
      <c r="H27">
        <v>11298.56</v>
      </c>
      <c r="I27">
        <v>11270.9</v>
      </c>
      <c r="J27" t="s">
        <v>14</v>
      </c>
      <c r="K27">
        <v>19.760000000000002</v>
      </c>
      <c r="L27" s="9">
        <v>2.5</v>
      </c>
      <c r="M27">
        <v>1</v>
      </c>
      <c r="N27">
        <v>0</v>
      </c>
    </row>
    <row r="28" spans="1:14" x14ac:dyDescent="0.2">
      <c r="A28" s="1">
        <v>44946</v>
      </c>
      <c r="B28">
        <v>5</v>
      </c>
      <c r="C28" t="s">
        <v>16</v>
      </c>
      <c r="D28" s="2">
        <v>0.41249999999999998</v>
      </c>
      <c r="E28">
        <v>11394.38</v>
      </c>
      <c r="F28" s="2">
        <v>0.41666666666666669</v>
      </c>
      <c r="G28">
        <v>11386.4</v>
      </c>
      <c r="H28">
        <v>11386.4</v>
      </c>
      <c r="I28">
        <v>11414.32</v>
      </c>
      <c r="J28" t="s">
        <v>15</v>
      </c>
      <c r="K28">
        <v>-7.98</v>
      </c>
      <c r="L28" s="9">
        <v>-1</v>
      </c>
      <c r="M28">
        <v>0</v>
      </c>
      <c r="N28">
        <v>0</v>
      </c>
    </row>
    <row r="29" spans="1:14" x14ac:dyDescent="0.2">
      <c r="A29" s="1">
        <v>44949</v>
      </c>
      <c r="B29">
        <v>1</v>
      </c>
      <c r="C29" t="s">
        <v>16</v>
      </c>
      <c r="D29" s="2">
        <v>0.40555555555555556</v>
      </c>
      <c r="E29">
        <v>11674.69</v>
      </c>
      <c r="F29" s="2">
        <v>0.40763888888888888</v>
      </c>
      <c r="G29">
        <v>11695.12</v>
      </c>
      <c r="H29">
        <v>11666.52</v>
      </c>
      <c r="I29">
        <v>11695.12</v>
      </c>
      <c r="J29" t="s">
        <v>14</v>
      </c>
      <c r="K29">
        <v>20.43</v>
      </c>
      <c r="L29" s="9">
        <v>2.5</v>
      </c>
      <c r="M29">
        <v>1</v>
      </c>
      <c r="N29">
        <v>0</v>
      </c>
    </row>
    <row r="30" spans="1:14" x14ac:dyDescent="0.2">
      <c r="A30" s="1">
        <v>44951</v>
      </c>
      <c r="B30">
        <v>3</v>
      </c>
      <c r="C30" t="s">
        <v>13</v>
      </c>
      <c r="D30" s="2">
        <v>0.41180555555555554</v>
      </c>
      <c r="E30">
        <v>11621.32</v>
      </c>
      <c r="F30" s="2">
        <v>0.41249999999999998</v>
      </c>
      <c r="G30">
        <v>11600.98</v>
      </c>
      <c r="H30">
        <v>11629.46</v>
      </c>
      <c r="I30">
        <v>11600.98</v>
      </c>
      <c r="J30" t="s">
        <v>14</v>
      </c>
      <c r="K30">
        <v>20.34</v>
      </c>
      <c r="L30" s="9">
        <v>2.5</v>
      </c>
      <c r="M30">
        <v>1</v>
      </c>
      <c r="N30">
        <v>2</v>
      </c>
    </row>
    <row r="31" spans="1:14" x14ac:dyDescent="0.2">
      <c r="A31" s="1">
        <v>44952</v>
      </c>
      <c r="B31">
        <v>4</v>
      </c>
      <c r="C31" t="s">
        <v>13</v>
      </c>
      <c r="D31" s="2">
        <v>0.42430555555555555</v>
      </c>
      <c r="E31">
        <v>11908.94</v>
      </c>
      <c r="F31" s="2">
        <v>0.42499999999999999</v>
      </c>
      <c r="G31">
        <v>11917.28</v>
      </c>
      <c r="H31">
        <v>11917.28</v>
      </c>
      <c r="I31">
        <v>11888.1</v>
      </c>
      <c r="J31" t="s">
        <v>15</v>
      </c>
      <c r="K31">
        <v>-8.34</v>
      </c>
      <c r="L31" s="9">
        <v>-1</v>
      </c>
      <c r="M31">
        <v>0</v>
      </c>
      <c r="N31">
        <v>0</v>
      </c>
    </row>
    <row r="32" spans="1:14" x14ac:dyDescent="0.2">
      <c r="A32" s="1">
        <v>44952</v>
      </c>
      <c r="B32">
        <v>4</v>
      </c>
      <c r="C32" t="s">
        <v>13</v>
      </c>
      <c r="D32" s="2">
        <v>0.45763888888888887</v>
      </c>
      <c r="E32">
        <v>11868.68</v>
      </c>
      <c r="F32" s="2">
        <v>0.45902777777777776</v>
      </c>
      <c r="G32">
        <v>11876.99</v>
      </c>
      <c r="H32">
        <v>11876.99</v>
      </c>
      <c r="I32">
        <v>11847.91</v>
      </c>
      <c r="J32" t="s">
        <v>15</v>
      </c>
      <c r="K32">
        <v>-8.31</v>
      </c>
      <c r="L32" s="9">
        <v>-1</v>
      </c>
      <c r="M32">
        <v>0</v>
      </c>
      <c r="N32">
        <v>2</v>
      </c>
    </row>
    <row r="33" spans="1:14" x14ac:dyDescent="0.2">
      <c r="A33" s="1">
        <v>44953</v>
      </c>
      <c r="B33">
        <v>5</v>
      </c>
      <c r="C33" t="s">
        <v>16</v>
      </c>
      <c r="D33" s="2">
        <v>0.4</v>
      </c>
      <c r="E33">
        <v>12023.03</v>
      </c>
      <c r="F33" s="2">
        <v>0.40486111111111112</v>
      </c>
      <c r="G33">
        <v>12044.07</v>
      </c>
      <c r="H33">
        <v>12014.61</v>
      </c>
      <c r="I33">
        <v>12044.07</v>
      </c>
      <c r="J33" t="s">
        <v>14</v>
      </c>
      <c r="K33">
        <v>21.04</v>
      </c>
      <c r="L33" s="9">
        <v>2.5</v>
      </c>
      <c r="M33">
        <v>1</v>
      </c>
      <c r="N33">
        <v>0</v>
      </c>
    </row>
    <row r="34" spans="1:14" x14ac:dyDescent="0.2">
      <c r="A34" s="1">
        <v>44953</v>
      </c>
      <c r="B34">
        <v>5</v>
      </c>
      <c r="C34" t="s">
        <v>16</v>
      </c>
      <c r="D34" s="2">
        <v>0.44513888888888886</v>
      </c>
      <c r="E34">
        <v>12109.15</v>
      </c>
      <c r="F34" s="2">
        <v>0.4465277777777778</v>
      </c>
      <c r="G34">
        <v>12100.67</v>
      </c>
      <c r="H34">
        <v>12100.67</v>
      </c>
      <c r="I34">
        <v>12130.34</v>
      </c>
      <c r="J34" t="s">
        <v>15</v>
      </c>
      <c r="K34">
        <v>-8.48</v>
      </c>
      <c r="L34" s="9">
        <v>-1</v>
      </c>
      <c r="M34">
        <v>0</v>
      </c>
      <c r="N34">
        <v>0</v>
      </c>
    </row>
    <row r="35" spans="1:14" x14ac:dyDescent="0.2">
      <c r="A35" s="1">
        <v>44953</v>
      </c>
      <c r="B35">
        <v>5</v>
      </c>
      <c r="C35" t="s">
        <v>13</v>
      </c>
      <c r="D35" s="2">
        <v>0.45624999999999999</v>
      </c>
      <c r="E35">
        <v>12051.72</v>
      </c>
      <c r="F35" s="2">
        <v>0.45694444444444443</v>
      </c>
      <c r="G35">
        <v>12060.15</v>
      </c>
      <c r="H35">
        <v>12060.15</v>
      </c>
      <c r="I35">
        <v>12030.62</v>
      </c>
      <c r="J35" t="s">
        <v>15</v>
      </c>
      <c r="K35">
        <v>-8.44</v>
      </c>
      <c r="L35" s="9">
        <v>-1</v>
      </c>
      <c r="M35">
        <v>0</v>
      </c>
      <c r="N35">
        <v>2</v>
      </c>
    </row>
    <row r="36" spans="1:14" x14ac:dyDescent="0.2">
      <c r="A36" s="1">
        <v>44956</v>
      </c>
      <c r="B36">
        <v>1</v>
      </c>
      <c r="C36" t="s">
        <v>16</v>
      </c>
      <c r="D36" s="2">
        <v>0.42083333333333334</v>
      </c>
      <c r="E36">
        <v>12076.84</v>
      </c>
      <c r="F36" s="2">
        <v>0.42222222222222222</v>
      </c>
      <c r="G36">
        <v>12068.39</v>
      </c>
      <c r="H36">
        <v>12068.39</v>
      </c>
      <c r="I36">
        <v>12097.98</v>
      </c>
      <c r="J36" t="s">
        <v>15</v>
      </c>
      <c r="K36">
        <v>-8.4499999999999993</v>
      </c>
      <c r="L36" s="9">
        <v>-1</v>
      </c>
      <c r="M36">
        <v>0</v>
      </c>
      <c r="N36">
        <v>3</v>
      </c>
    </row>
    <row r="37" spans="1:14" x14ac:dyDescent="0.2">
      <c r="A37" s="1">
        <v>44956</v>
      </c>
      <c r="B37">
        <v>1</v>
      </c>
      <c r="C37" t="s">
        <v>13</v>
      </c>
      <c r="D37" s="2">
        <v>0.43680555555555556</v>
      </c>
      <c r="E37">
        <v>11993.34</v>
      </c>
      <c r="F37" s="2">
        <v>0.44027777777777777</v>
      </c>
      <c r="G37">
        <v>11972.36</v>
      </c>
      <c r="H37">
        <v>12001.74</v>
      </c>
      <c r="I37">
        <v>11972.36</v>
      </c>
      <c r="J37" t="s">
        <v>14</v>
      </c>
      <c r="K37">
        <v>20.99</v>
      </c>
      <c r="L37" s="9">
        <v>2.5</v>
      </c>
      <c r="M37">
        <v>1</v>
      </c>
      <c r="N37">
        <v>0</v>
      </c>
    </row>
    <row r="38" spans="1:14" x14ac:dyDescent="0.2">
      <c r="A38" s="1">
        <v>44959</v>
      </c>
      <c r="B38">
        <v>4</v>
      </c>
      <c r="C38" t="s">
        <v>16</v>
      </c>
      <c r="D38" s="2">
        <v>0.39652777777777776</v>
      </c>
      <c r="E38">
        <v>12636.21</v>
      </c>
      <c r="F38" s="2">
        <v>0.39791666666666664</v>
      </c>
      <c r="G38">
        <v>12658.32</v>
      </c>
      <c r="H38">
        <v>12627.37</v>
      </c>
      <c r="I38">
        <v>12658.32</v>
      </c>
      <c r="J38" t="s">
        <v>14</v>
      </c>
      <c r="K38">
        <v>22.11</v>
      </c>
      <c r="L38" s="9">
        <v>2.5</v>
      </c>
      <c r="M38">
        <v>1</v>
      </c>
      <c r="N38">
        <v>2</v>
      </c>
    </row>
    <row r="39" spans="1:14" x14ac:dyDescent="0.2">
      <c r="A39" s="1">
        <v>44959</v>
      </c>
      <c r="B39">
        <v>4</v>
      </c>
      <c r="C39" t="s">
        <v>16</v>
      </c>
      <c r="D39" s="2">
        <v>0.43472222222222223</v>
      </c>
      <c r="E39">
        <v>12675.43</v>
      </c>
      <c r="F39" s="2">
        <v>0.4375</v>
      </c>
      <c r="G39">
        <v>12697.61</v>
      </c>
      <c r="H39">
        <v>12666.55</v>
      </c>
      <c r="I39">
        <v>12697.61</v>
      </c>
      <c r="J39" t="s">
        <v>14</v>
      </c>
      <c r="K39">
        <v>22.18</v>
      </c>
      <c r="L39" s="9">
        <v>2.5</v>
      </c>
      <c r="M39">
        <v>1</v>
      </c>
      <c r="N39">
        <v>3</v>
      </c>
    </row>
    <row r="40" spans="1:14" x14ac:dyDescent="0.2">
      <c r="A40" s="1">
        <v>44960</v>
      </c>
      <c r="B40">
        <v>5</v>
      </c>
      <c r="C40" t="s">
        <v>16</v>
      </c>
      <c r="D40" s="2">
        <v>0.40208333333333335</v>
      </c>
      <c r="E40">
        <v>12583.99</v>
      </c>
      <c r="F40" s="2">
        <v>0.40277777777777779</v>
      </c>
      <c r="G40">
        <v>12606.01</v>
      </c>
      <c r="H40">
        <v>12575.18</v>
      </c>
      <c r="I40">
        <v>12606.01</v>
      </c>
      <c r="J40" t="s">
        <v>14</v>
      </c>
      <c r="K40">
        <v>22.02</v>
      </c>
      <c r="L40" s="9">
        <v>2.5</v>
      </c>
      <c r="M40">
        <v>1</v>
      </c>
      <c r="N40">
        <v>4</v>
      </c>
    </row>
    <row r="41" spans="1:14" x14ac:dyDescent="0.2">
      <c r="A41" s="1">
        <v>44960</v>
      </c>
      <c r="B41">
        <v>5</v>
      </c>
      <c r="C41" t="s">
        <v>16</v>
      </c>
      <c r="D41" s="2">
        <v>0.42986111111111114</v>
      </c>
      <c r="E41">
        <v>12726.92</v>
      </c>
      <c r="F41" s="2">
        <v>0.43055555555555558</v>
      </c>
      <c r="G41">
        <v>12749.19</v>
      </c>
      <c r="H41">
        <v>12718.01</v>
      </c>
      <c r="I41">
        <v>12749.19</v>
      </c>
      <c r="J41" t="s">
        <v>14</v>
      </c>
      <c r="K41">
        <v>22.27</v>
      </c>
      <c r="L41" s="9">
        <v>2.5</v>
      </c>
      <c r="M41">
        <v>1</v>
      </c>
      <c r="N41">
        <v>5</v>
      </c>
    </row>
    <row r="42" spans="1:14" x14ac:dyDescent="0.2">
      <c r="A42" s="1">
        <v>44963</v>
      </c>
      <c r="B42">
        <v>1</v>
      </c>
      <c r="C42" t="s">
        <v>16</v>
      </c>
      <c r="D42" s="2">
        <v>0.4</v>
      </c>
      <c r="E42">
        <v>12494.26</v>
      </c>
      <c r="F42" s="2">
        <v>0.40069444444444446</v>
      </c>
      <c r="G42">
        <v>12485.52</v>
      </c>
      <c r="H42">
        <v>12485.52</v>
      </c>
      <c r="I42">
        <v>12516.13</v>
      </c>
      <c r="J42" t="s">
        <v>15</v>
      </c>
      <c r="K42">
        <v>-8.75</v>
      </c>
      <c r="L42" s="9">
        <v>-1</v>
      </c>
      <c r="M42">
        <v>0</v>
      </c>
      <c r="N42">
        <v>0</v>
      </c>
    </row>
    <row r="43" spans="1:14" x14ac:dyDescent="0.2">
      <c r="A43" s="1">
        <v>44963</v>
      </c>
      <c r="B43">
        <v>1</v>
      </c>
      <c r="C43" t="s">
        <v>13</v>
      </c>
      <c r="D43" s="2">
        <v>0.43333333333333335</v>
      </c>
      <c r="E43">
        <v>12449.78</v>
      </c>
      <c r="F43" s="2">
        <v>0.43611111111111112</v>
      </c>
      <c r="G43">
        <v>12427.99</v>
      </c>
      <c r="H43">
        <v>12458.49</v>
      </c>
      <c r="I43">
        <v>12427.99</v>
      </c>
      <c r="J43" t="s">
        <v>14</v>
      </c>
      <c r="K43">
        <v>21.79</v>
      </c>
      <c r="L43" s="9">
        <v>2.5</v>
      </c>
      <c r="M43">
        <v>1</v>
      </c>
      <c r="N43">
        <v>0</v>
      </c>
    </row>
    <row r="44" spans="1:14" x14ac:dyDescent="0.2">
      <c r="A44" s="1">
        <v>44963</v>
      </c>
      <c r="B44">
        <v>1</v>
      </c>
      <c r="C44" t="s">
        <v>16</v>
      </c>
      <c r="D44" s="2">
        <v>0.4548611111111111</v>
      </c>
      <c r="E44">
        <v>12491.58</v>
      </c>
      <c r="F44" s="2">
        <v>0.46250000000000002</v>
      </c>
      <c r="G44">
        <v>12513.44</v>
      </c>
      <c r="H44">
        <v>12482.83</v>
      </c>
      <c r="I44">
        <v>12513.44</v>
      </c>
      <c r="J44" t="s">
        <v>14</v>
      </c>
      <c r="K44">
        <v>21.86</v>
      </c>
      <c r="L44" s="9">
        <v>2.5</v>
      </c>
      <c r="M44">
        <v>1</v>
      </c>
      <c r="N44">
        <v>2</v>
      </c>
    </row>
    <row r="45" spans="1:14" x14ac:dyDescent="0.2">
      <c r="A45" s="1">
        <v>44964</v>
      </c>
      <c r="B45">
        <v>2</v>
      </c>
      <c r="C45" t="s">
        <v>13</v>
      </c>
      <c r="D45" s="2">
        <v>0.42499999999999999</v>
      </c>
      <c r="E45">
        <v>12447.6</v>
      </c>
      <c r="F45" s="2">
        <v>0.42638888888888887</v>
      </c>
      <c r="G45">
        <v>12456.31</v>
      </c>
      <c r="H45">
        <v>12456.31</v>
      </c>
      <c r="I45">
        <v>12425.82</v>
      </c>
      <c r="J45" t="s">
        <v>15</v>
      </c>
      <c r="K45">
        <v>-8.7100000000000009</v>
      </c>
      <c r="L45" s="9">
        <v>-1</v>
      </c>
      <c r="M45">
        <v>0</v>
      </c>
      <c r="N45">
        <v>0</v>
      </c>
    </row>
    <row r="46" spans="1:14" x14ac:dyDescent="0.2">
      <c r="A46" s="1">
        <v>44964</v>
      </c>
      <c r="B46">
        <v>2</v>
      </c>
      <c r="C46" t="s">
        <v>16</v>
      </c>
      <c r="D46" s="2">
        <v>0.44930555555555557</v>
      </c>
      <c r="E46">
        <v>12483.07</v>
      </c>
      <c r="F46" s="2">
        <v>0.45624999999999999</v>
      </c>
      <c r="G46">
        <v>12474.33</v>
      </c>
      <c r="H46">
        <v>12474.33</v>
      </c>
      <c r="I46">
        <v>12504.92</v>
      </c>
      <c r="J46" t="s">
        <v>15</v>
      </c>
      <c r="K46">
        <v>-8.74</v>
      </c>
      <c r="L46" s="9">
        <v>-1</v>
      </c>
      <c r="M46">
        <v>0</v>
      </c>
      <c r="N46">
        <v>2</v>
      </c>
    </row>
    <row r="47" spans="1:14" x14ac:dyDescent="0.2">
      <c r="A47" s="1">
        <v>44965</v>
      </c>
      <c r="B47">
        <v>3</v>
      </c>
      <c r="C47" t="s">
        <v>13</v>
      </c>
      <c r="D47" s="2">
        <v>0.44236111111111109</v>
      </c>
      <c r="E47">
        <v>12574.85</v>
      </c>
      <c r="F47" s="2">
        <v>0.44305555555555554</v>
      </c>
      <c r="G47">
        <v>12583.65</v>
      </c>
      <c r="H47">
        <v>12583.65</v>
      </c>
      <c r="I47">
        <v>12552.84</v>
      </c>
      <c r="J47" t="s">
        <v>15</v>
      </c>
      <c r="K47">
        <v>-8.8000000000000007</v>
      </c>
      <c r="L47" s="9">
        <v>-1</v>
      </c>
      <c r="M47">
        <v>0</v>
      </c>
      <c r="N47">
        <v>3</v>
      </c>
    </row>
    <row r="48" spans="1:14" x14ac:dyDescent="0.2">
      <c r="A48" s="1">
        <v>44966</v>
      </c>
      <c r="B48">
        <v>4</v>
      </c>
      <c r="C48" t="s">
        <v>13</v>
      </c>
      <c r="D48" s="2">
        <v>0.40625</v>
      </c>
      <c r="E48">
        <v>12606.43</v>
      </c>
      <c r="F48" s="2">
        <v>0.40694444444444444</v>
      </c>
      <c r="G48">
        <v>12615.25</v>
      </c>
      <c r="H48">
        <v>12615.25</v>
      </c>
      <c r="I48">
        <v>12584.37</v>
      </c>
      <c r="J48" t="s">
        <v>15</v>
      </c>
      <c r="K48">
        <v>-8.82</v>
      </c>
      <c r="L48" s="9">
        <v>-1</v>
      </c>
      <c r="M48">
        <v>0</v>
      </c>
      <c r="N48">
        <v>4</v>
      </c>
    </row>
    <row r="49" spans="1:14" x14ac:dyDescent="0.2">
      <c r="A49" s="1">
        <v>44966</v>
      </c>
      <c r="B49">
        <v>4</v>
      </c>
      <c r="C49" t="s">
        <v>13</v>
      </c>
      <c r="D49" s="2">
        <v>0.43958333333333333</v>
      </c>
      <c r="E49">
        <v>12588.23</v>
      </c>
      <c r="F49" s="2">
        <v>0.44027777777777777</v>
      </c>
      <c r="G49">
        <v>12597.05</v>
      </c>
      <c r="H49">
        <v>12597.05</v>
      </c>
      <c r="I49">
        <v>12566.2</v>
      </c>
      <c r="J49" t="s">
        <v>15</v>
      </c>
      <c r="K49">
        <v>-8.81</v>
      </c>
      <c r="L49" s="9">
        <v>-1</v>
      </c>
      <c r="M49">
        <v>0</v>
      </c>
      <c r="N49">
        <v>5</v>
      </c>
    </row>
    <row r="50" spans="1:14" x14ac:dyDescent="0.2">
      <c r="A50" s="1">
        <v>44967</v>
      </c>
      <c r="B50">
        <v>5</v>
      </c>
      <c r="C50" t="s">
        <v>16</v>
      </c>
      <c r="D50" s="2">
        <v>0.39861111111111114</v>
      </c>
      <c r="E50">
        <v>12318.43</v>
      </c>
      <c r="F50" s="2">
        <v>0.39930555555555558</v>
      </c>
      <c r="G50">
        <v>12339.98</v>
      </c>
      <c r="H50">
        <v>12309.8</v>
      </c>
      <c r="I50">
        <v>12339.98</v>
      </c>
      <c r="J50" t="s">
        <v>14</v>
      </c>
      <c r="K50">
        <v>21.56</v>
      </c>
      <c r="L50" s="9">
        <v>2.5</v>
      </c>
      <c r="M50">
        <v>1</v>
      </c>
      <c r="N50">
        <v>0</v>
      </c>
    </row>
    <row r="51" spans="1:14" x14ac:dyDescent="0.2">
      <c r="A51" s="1">
        <v>44967</v>
      </c>
      <c r="B51">
        <v>5</v>
      </c>
      <c r="C51" t="s">
        <v>16</v>
      </c>
      <c r="D51" s="2">
        <v>0.43125000000000002</v>
      </c>
      <c r="E51">
        <v>12352.72</v>
      </c>
      <c r="F51" s="2">
        <v>0.43194444444444446</v>
      </c>
      <c r="G51">
        <v>12374.34</v>
      </c>
      <c r="H51">
        <v>12344.08</v>
      </c>
      <c r="I51">
        <v>12374.34</v>
      </c>
      <c r="J51" t="s">
        <v>14</v>
      </c>
      <c r="K51">
        <v>21.62</v>
      </c>
      <c r="L51" s="9">
        <v>2.5</v>
      </c>
      <c r="M51">
        <v>1</v>
      </c>
      <c r="N51">
        <v>2</v>
      </c>
    </row>
    <row r="52" spans="1:14" x14ac:dyDescent="0.2">
      <c r="A52" s="1">
        <v>44967</v>
      </c>
      <c r="B52">
        <v>5</v>
      </c>
      <c r="C52" t="s">
        <v>13</v>
      </c>
      <c r="D52" s="2">
        <v>0.45069444444444445</v>
      </c>
      <c r="E52">
        <v>12302.89</v>
      </c>
      <c r="F52" s="2">
        <v>0.45277777777777778</v>
      </c>
      <c r="G52">
        <v>12281.36</v>
      </c>
      <c r="H52">
        <v>12311.51</v>
      </c>
      <c r="I52">
        <v>12281.36</v>
      </c>
      <c r="J52" t="s">
        <v>14</v>
      </c>
      <c r="K52">
        <v>21.53</v>
      </c>
      <c r="L52" s="9">
        <v>2.5</v>
      </c>
      <c r="M52">
        <v>1</v>
      </c>
      <c r="N52">
        <v>3</v>
      </c>
    </row>
    <row r="53" spans="1:14" x14ac:dyDescent="0.2">
      <c r="A53" s="1">
        <v>44970</v>
      </c>
      <c r="B53">
        <v>1</v>
      </c>
      <c r="C53" t="s">
        <v>16</v>
      </c>
      <c r="D53" s="2">
        <v>0.41875000000000001</v>
      </c>
      <c r="E53">
        <v>12413.72</v>
      </c>
      <c r="F53" s="2">
        <v>0.41944444444444445</v>
      </c>
      <c r="G53">
        <v>12405.03</v>
      </c>
      <c r="H53">
        <v>12405.03</v>
      </c>
      <c r="I53">
        <v>12435.44</v>
      </c>
      <c r="J53" t="s">
        <v>15</v>
      </c>
      <c r="K53">
        <v>-8.69</v>
      </c>
      <c r="L53" s="9">
        <v>-1</v>
      </c>
      <c r="M53">
        <v>0</v>
      </c>
      <c r="N53">
        <v>0</v>
      </c>
    </row>
    <row r="54" spans="1:14" x14ac:dyDescent="0.2">
      <c r="A54" s="1">
        <v>44970</v>
      </c>
      <c r="B54">
        <v>1</v>
      </c>
      <c r="C54" t="s">
        <v>16</v>
      </c>
      <c r="D54" s="2">
        <v>0.43819444444444444</v>
      </c>
      <c r="E54">
        <v>12413.06</v>
      </c>
      <c r="F54" s="2">
        <v>0.45069444444444445</v>
      </c>
      <c r="G54">
        <v>12434.78</v>
      </c>
      <c r="H54">
        <v>12404.37</v>
      </c>
      <c r="I54">
        <v>12434.78</v>
      </c>
      <c r="J54" t="s">
        <v>14</v>
      </c>
      <c r="K54">
        <v>21.72</v>
      </c>
      <c r="L54" s="9">
        <v>2.5</v>
      </c>
      <c r="M54">
        <v>1</v>
      </c>
      <c r="N54">
        <v>0</v>
      </c>
    </row>
    <row r="55" spans="1:14" x14ac:dyDescent="0.2">
      <c r="A55" s="1">
        <v>44971</v>
      </c>
      <c r="B55">
        <v>2</v>
      </c>
      <c r="C55" t="s">
        <v>13</v>
      </c>
      <c r="D55" s="2">
        <v>0.39861111111111114</v>
      </c>
      <c r="E55">
        <v>12385.31</v>
      </c>
      <c r="F55" s="2">
        <v>0.39930555555555558</v>
      </c>
      <c r="G55">
        <v>12393.98</v>
      </c>
      <c r="H55">
        <v>12393.98</v>
      </c>
      <c r="I55">
        <v>12363.64</v>
      </c>
      <c r="J55" t="s">
        <v>15</v>
      </c>
      <c r="K55">
        <v>-8.67</v>
      </c>
      <c r="L55" s="9">
        <v>-1</v>
      </c>
      <c r="M55">
        <v>0</v>
      </c>
      <c r="N55">
        <v>0</v>
      </c>
    </row>
    <row r="56" spans="1:14" x14ac:dyDescent="0.2">
      <c r="A56" s="1">
        <v>44971</v>
      </c>
      <c r="B56">
        <v>2</v>
      </c>
      <c r="C56" t="s">
        <v>16</v>
      </c>
      <c r="D56" s="2">
        <v>0.41041666666666665</v>
      </c>
      <c r="E56">
        <v>12499.81</v>
      </c>
      <c r="F56" s="2">
        <v>0.41180555555555554</v>
      </c>
      <c r="G56">
        <v>12491.06</v>
      </c>
      <c r="H56">
        <v>12491.06</v>
      </c>
      <c r="I56">
        <v>12521.69</v>
      </c>
      <c r="J56" t="s">
        <v>15</v>
      </c>
      <c r="K56">
        <v>-8.75</v>
      </c>
      <c r="L56" s="9">
        <v>-1</v>
      </c>
      <c r="M56">
        <v>0</v>
      </c>
      <c r="N56">
        <v>2</v>
      </c>
    </row>
    <row r="57" spans="1:14" x14ac:dyDescent="0.2">
      <c r="A57" s="1">
        <v>44971</v>
      </c>
      <c r="B57">
        <v>2</v>
      </c>
      <c r="C57" t="s">
        <v>13</v>
      </c>
      <c r="D57" s="2">
        <v>0.44722222222222224</v>
      </c>
      <c r="E57">
        <v>12447.36</v>
      </c>
      <c r="F57" s="2">
        <v>0.44791666666666669</v>
      </c>
      <c r="G57">
        <v>12425.57</v>
      </c>
      <c r="H57">
        <v>12456.07</v>
      </c>
      <c r="I57">
        <v>12425.57</v>
      </c>
      <c r="J57" t="s">
        <v>14</v>
      </c>
      <c r="K57">
        <v>21.78</v>
      </c>
      <c r="L57" s="9">
        <v>2.5</v>
      </c>
      <c r="M57">
        <v>1</v>
      </c>
      <c r="N57">
        <v>0</v>
      </c>
    </row>
    <row r="58" spans="1:14" x14ac:dyDescent="0.2">
      <c r="A58" s="1">
        <v>44972</v>
      </c>
      <c r="B58">
        <v>3</v>
      </c>
      <c r="C58" t="s">
        <v>16</v>
      </c>
      <c r="D58" s="2">
        <v>0.41041666666666665</v>
      </c>
      <c r="E58">
        <v>12566.77</v>
      </c>
      <c r="F58" s="2">
        <v>0.41111111111111109</v>
      </c>
      <c r="G58">
        <v>12557.98</v>
      </c>
      <c r="H58">
        <v>12557.98</v>
      </c>
      <c r="I58">
        <v>12588.77</v>
      </c>
      <c r="J58" t="s">
        <v>15</v>
      </c>
      <c r="K58">
        <v>-8.8000000000000007</v>
      </c>
      <c r="L58" s="9">
        <v>-1</v>
      </c>
      <c r="M58">
        <v>0</v>
      </c>
      <c r="N58">
        <v>0</v>
      </c>
    </row>
    <row r="59" spans="1:14" x14ac:dyDescent="0.2">
      <c r="A59" s="1">
        <v>44972</v>
      </c>
      <c r="B59">
        <v>3</v>
      </c>
      <c r="C59" t="s">
        <v>13</v>
      </c>
      <c r="D59" s="2">
        <v>0.4236111111111111</v>
      </c>
      <c r="E59">
        <v>12508.89</v>
      </c>
      <c r="F59" s="2">
        <v>0.42499999999999999</v>
      </c>
      <c r="G59">
        <v>12487</v>
      </c>
      <c r="H59">
        <v>12517.64</v>
      </c>
      <c r="I59">
        <v>12487</v>
      </c>
      <c r="J59" t="s">
        <v>14</v>
      </c>
      <c r="K59">
        <v>21.89</v>
      </c>
      <c r="L59" s="9">
        <v>2.5</v>
      </c>
      <c r="M59">
        <v>1</v>
      </c>
      <c r="N59">
        <v>0</v>
      </c>
    </row>
    <row r="60" spans="1:14" x14ac:dyDescent="0.2">
      <c r="A60" s="1">
        <v>44972</v>
      </c>
      <c r="B60">
        <v>3</v>
      </c>
      <c r="C60" t="s">
        <v>16</v>
      </c>
      <c r="D60" s="2">
        <v>0.44097222222222221</v>
      </c>
      <c r="E60">
        <v>12553.66</v>
      </c>
      <c r="F60" s="2">
        <v>0.44166666666666665</v>
      </c>
      <c r="G60">
        <v>12544.87</v>
      </c>
      <c r="H60">
        <v>12544.87</v>
      </c>
      <c r="I60">
        <v>12575.63</v>
      </c>
      <c r="J60" t="s">
        <v>15</v>
      </c>
      <c r="K60">
        <v>-8.7899999999999991</v>
      </c>
      <c r="L60" s="9">
        <v>-1</v>
      </c>
      <c r="M60">
        <v>0</v>
      </c>
      <c r="N60">
        <v>0</v>
      </c>
    </row>
    <row r="61" spans="1:14" x14ac:dyDescent="0.2">
      <c r="A61" s="1">
        <v>44973</v>
      </c>
      <c r="B61">
        <v>4</v>
      </c>
      <c r="C61" t="s">
        <v>16</v>
      </c>
      <c r="D61" s="2">
        <v>0.41319444444444442</v>
      </c>
      <c r="E61">
        <v>12526.44</v>
      </c>
      <c r="F61" s="2">
        <v>0.41597222222222224</v>
      </c>
      <c r="G61">
        <v>12517.67</v>
      </c>
      <c r="H61">
        <v>12517.67</v>
      </c>
      <c r="I61">
        <v>12548.36</v>
      </c>
      <c r="J61" t="s">
        <v>15</v>
      </c>
      <c r="K61">
        <v>-8.77</v>
      </c>
      <c r="L61" s="9">
        <v>-1</v>
      </c>
      <c r="M61">
        <v>0</v>
      </c>
      <c r="N61">
        <v>2</v>
      </c>
    </row>
    <row r="62" spans="1:14" x14ac:dyDescent="0.2">
      <c r="A62" s="1">
        <v>44973</v>
      </c>
      <c r="B62">
        <v>4</v>
      </c>
      <c r="C62" t="s">
        <v>16</v>
      </c>
      <c r="D62" s="2">
        <v>0.42569444444444443</v>
      </c>
      <c r="E62">
        <v>12541.14</v>
      </c>
      <c r="F62" s="2">
        <v>0.42638888888888887</v>
      </c>
      <c r="G62">
        <v>12532.36</v>
      </c>
      <c r="H62">
        <v>12532.36</v>
      </c>
      <c r="I62">
        <v>12563.08</v>
      </c>
      <c r="J62" t="s">
        <v>15</v>
      </c>
      <c r="K62">
        <v>-8.7799999999999994</v>
      </c>
      <c r="L62" s="9">
        <v>-1</v>
      </c>
      <c r="M62">
        <v>0</v>
      </c>
      <c r="N62">
        <v>3</v>
      </c>
    </row>
    <row r="63" spans="1:14" x14ac:dyDescent="0.2">
      <c r="A63" s="1">
        <v>44974</v>
      </c>
      <c r="B63">
        <v>5</v>
      </c>
      <c r="C63" t="s">
        <v>13</v>
      </c>
      <c r="D63" s="2">
        <v>0.41041666666666665</v>
      </c>
      <c r="E63">
        <v>12285.31</v>
      </c>
      <c r="F63" s="2">
        <v>0.41249999999999998</v>
      </c>
      <c r="G63">
        <v>12263.82</v>
      </c>
      <c r="H63">
        <v>12293.91</v>
      </c>
      <c r="I63">
        <v>12263.82</v>
      </c>
      <c r="J63" t="s">
        <v>14</v>
      </c>
      <c r="K63">
        <v>21.5</v>
      </c>
      <c r="L63" s="9">
        <v>2.5</v>
      </c>
      <c r="M63">
        <v>1</v>
      </c>
      <c r="N63">
        <v>0</v>
      </c>
    </row>
    <row r="64" spans="1:14" x14ac:dyDescent="0.2">
      <c r="A64" s="1">
        <v>44974</v>
      </c>
      <c r="B64">
        <v>5</v>
      </c>
      <c r="C64" t="s">
        <v>16</v>
      </c>
      <c r="D64" s="2">
        <v>0.43194444444444446</v>
      </c>
      <c r="E64">
        <v>12345.87</v>
      </c>
      <c r="F64" s="2">
        <v>0.43263888888888891</v>
      </c>
      <c r="G64">
        <v>12337.23</v>
      </c>
      <c r="H64">
        <v>12337.23</v>
      </c>
      <c r="I64">
        <v>12367.47</v>
      </c>
      <c r="J64" t="s">
        <v>15</v>
      </c>
      <c r="K64">
        <v>-8.64</v>
      </c>
      <c r="L64" s="9">
        <v>-1</v>
      </c>
      <c r="M64">
        <v>0</v>
      </c>
      <c r="N64">
        <v>0</v>
      </c>
    </row>
    <row r="65" spans="1:14" x14ac:dyDescent="0.2">
      <c r="A65" s="1">
        <v>44974</v>
      </c>
      <c r="B65">
        <v>5</v>
      </c>
      <c r="C65" t="s">
        <v>13</v>
      </c>
      <c r="D65" s="2">
        <v>0.45416666666666666</v>
      </c>
      <c r="E65">
        <v>12296.41</v>
      </c>
      <c r="F65" s="2">
        <v>0.4597222222222222</v>
      </c>
      <c r="G65">
        <v>12274.89</v>
      </c>
      <c r="H65">
        <v>12305.02</v>
      </c>
      <c r="I65">
        <v>12274.89</v>
      </c>
      <c r="J65" t="s">
        <v>14</v>
      </c>
      <c r="K65">
        <v>21.52</v>
      </c>
      <c r="L65" s="9">
        <v>2.5</v>
      </c>
      <c r="M65">
        <v>1</v>
      </c>
      <c r="N65">
        <v>0</v>
      </c>
    </row>
    <row r="66" spans="1:14" x14ac:dyDescent="0.2">
      <c r="A66" s="1">
        <v>44977</v>
      </c>
      <c r="B66">
        <v>1</v>
      </c>
      <c r="C66" t="s">
        <v>13</v>
      </c>
      <c r="D66" s="2">
        <v>0.40069444444444446</v>
      </c>
      <c r="E66">
        <v>12352.09</v>
      </c>
      <c r="F66" s="2">
        <v>0.54097222222222219</v>
      </c>
      <c r="G66">
        <v>12330.47</v>
      </c>
      <c r="H66">
        <v>12360.74</v>
      </c>
      <c r="I66">
        <v>12330.47</v>
      </c>
      <c r="J66" t="s">
        <v>14</v>
      </c>
      <c r="K66">
        <v>21.62</v>
      </c>
      <c r="L66" s="9">
        <v>2.5</v>
      </c>
      <c r="M66">
        <v>1</v>
      </c>
      <c r="N66">
        <v>2</v>
      </c>
    </row>
    <row r="67" spans="1:14" x14ac:dyDescent="0.2">
      <c r="A67" s="1">
        <v>44979</v>
      </c>
      <c r="B67">
        <v>3</v>
      </c>
      <c r="C67" t="s">
        <v>16</v>
      </c>
      <c r="D67" s="2">
        <v>0.40486111111111112</v>
      </c>
      <c r="E67">
        <v>12114.75</v>
      </c>
      <c r="F67" s="2">
        <v>0.40694444444444444</v>
      </c>
      <c r="G67">
        <v>12135.95</v>
      </c>
      <c r="H67">
        <v>12106.27</v>
      </c>
      <c r="I67">
        <v>12135.95</v>
      </c>
      <c r="J67" t="s">
        <v>14</v>
      </c>
      <c r="K67">
        <v>21.2</v>
      </c>
      <c r="L67" s="9">
        <v>2.5</v>
      </c>
      <c r="M67">
        <v>1</v>
      </c>
      <c r="N67">
        <v>3</v>
      </c>
    </row>
    <row r="68" spans="1:14" x14ac:dyDescent="0.2">
      <c r="A68" s="1">
        <v>44979</v>
      </c>
      <c r="B68">
        <v>3</v>
      </c>
      <c r="C68" t="s">
        <v>13</v>
      </c>
      <c r="D68" s="2">
        <v>0.4201388888888889</v>
      </c>
      <c r="E68">
        <v>12069.81</v>
      </c>
      <c r="F68" s="2">
        <v>0.4236111111111111</v>
      </c>
      <c r="G68">
        <v>12048.69</v>
      </c>
      <c r="H68">
        <v>12078.26</v>
      </c>
      <c r="I68">
        <v>12048.69</v>
      </c>
      <c r="J68" t="s">
        <v>14</v>
      </c>
      <c r="K68">
        <v>21.12</v>
      </c>
      <c r="L68" s="9">
        <v>2.5</v>
      </c>
      <c r="M68">
        <v>1</v>
      </c>
      <c r="N68">
        <v>4</v>
      </c>
    </row>
    <row r="69" spans="1:14" x14ac:dyDescent="0.2">
      <c r="A69" s="1">
        <v>44979</v>
      </c>
      <c r="B69">
        <v>3</v>
      </c>
      <c r="C69" t="s">
        <v>16</v>
      </c>
      <c r="D69" s="2">
        <v>0.45694444444444443</v>
      </c>
      <c r="E69">
        <v>12063.96</v>
      </c>
      <c r="F69" s="2">
        <v>0.46666666666666667</v>
      </c>
      <c r="G69">
        <v>12055.52</v>
      </c>
      <c r="H69">
        <v>12055.52</v>
      </c>
      <c r="I69">
        <v>12085.08</v>
      </c>
      <c r="J69" t="s">
        <v>15</v>
      </c>
      <c r="K69">
        <v>-8.44</v>
      </c>
      <c r="L69" s="9">
        <v>-1</v>
      </c>
      <c r="M69">
        <v>0</v>
      </c>
      <c r="N69">
        <v>0</v>
      </c>
    </row>
    <row r="70" spans="1:14" x14ac:dyDescent="0.2">
      <c r="A70" s="1">
        <v>44980</v>
      </c>
      <c r="B70">
        <v>4</v>
      </c>
      <c r="C70" t="s">
        <v>13</v>
      </c>
      <c r="D70" s="2">
        <v>0.42569444444444443</v>
      </c>
      <c r="E70">
        <v>12150.01</v>
      </c>
      <c r="F70" s="2">
        <v>0.42638888888888887</v>
      </c>
      <c r="G70">
        <v>12158.51</v>
      </c>
      <c r="H70">
        <v>12158.51</v>
      </c>
      <c r="I70">
        <v>12128.75</v>
      </c>
      <c r="J70" t="s">
        <v>15</v>
      </c>
      <c r="K70">
        <v>-8.51</v>
      </c>
      <c r="L70" s="9">
        <v>-1</v>
      </c>
      <c r="M70">
        <v>0</v>
      </c>
      <c r="N70">
        <v>2</v>
      </c>
    </row>
    <row r="71" spans="1:14" x14ac:dyDescent="0.2">
      <c r="A71" s="1">
        <v>44980</v>
      </c>
      <c r="B71">
        <v>4</v>
      </c>
      <c r="C71" t="s">
        <v>13</v>
      </c>
      <c r="D71" s="2">
        <v>0.45416666666666666</v>
      </c>
      <c r="E71">
        <v>12091.33</v>
      </c>
      <c r="F71" s="2">
        <v>0.45902777777777776</v>
      </c>
      <c r="G71">
        <v>12099.79</v>
      </c>
      <c r="H71">
        <v>12099.79</v>
      </c>
      <c r="I71">
        <v>12070.17</v>
      </c>
      <c r="J71" t="s">
        <v>15</v>
      </c>
      <c r="K71">
        <v>-8.4600000000000009</v>
      </c>
      <c r="L71" s="9">
        <v>-1</v>
      </c>
      <c r="M71">
        <v>0</v>
      </c>
      <c r="N71">
        <v>3</v>
      </c>
    </row>
    <row r="72" spans="1:14" x14ac:dyDescent="0.2">
      <c r="A72" s="1">
        <v>44981</v>
      </c>
      <c r="B72">
        <v>5</v>
      </c>
      <c r="C72" t="s">
        <v>13</v>
      </c>
      <c r="D72" s="2">
        <v>0.41805555555555557</v>
      </c>
      <c r="E72">
        <v>11941.27</v>
      </c>
      <c r="F72" s="2">
        <v>0.41875000000000001</v>
      </c>
      <c r="G72">
        <v>11949.63</v>
      </c>
      <c r="H72">
        <v>11949.63</v>
      </c>
      <c r="I72">
        <v>11920.37</v>
      </c>
      <c r="J72" t="s">
        <v>15</v>
      </c>
      <c r="K72">
        <v>-8.36</v>
      </c>
      <c r="L72" s="9">
        <v>-1</v>
      </c>
      <c r="M72">
        <v>0</v>
      </c>
      <c r="N72">
        <v>4</v>
      </c>
    </row>
    <row r="73" spans="1:14" x14ac:dyDescent="0.2">
      <c r="A73" s="1">
        <v>44981</v>
      </c>
      <c r="B73">
        <v>5</v>
      </c>
      <c r="C73" t="s">
        <v>13</v>
      </c>
      <c r="D73" s="2">
        <v>0.45624999999999999</v>
      </c>
      <c r="E73">
        <v>11901.4</v>
      </c>
      <c r="F73" s="2">
        <v>0.45763888888888887</v>
      </c>
      <c r="G73">
        <v>11909.73</v>
      </c>
      <c r="H73">
        <v>11909.73</v>
      </c>
      <c r="I73">
        <v>11880.57</v>
      </c>
      <c r="J73" t="s">
        <v>15</v>
      </c>
      <c r="K73">
        <v>-8.33</v>
      </c>
      <c r="L73" s="9">
        <v>-1</v>
      </c>
      <c r="M73">
        <v>0</v>
      </c>
      <c r="N73">
        <v>5</v>
      </c>
    </row>
    <row r="74" spans="1:14" x14ac:dyDescent="0.2">
      <c r="A74" s="1">
        <v>44984</v>
      </c>
      <c r="B74">
        <v>1</v>
      </c>
      <c r="C74" t="s">
        <v>16</v>
      </c>
      <c r="D74" s="2">
        <v>0.42152777777777778</v>
      </c>
      <c r="E74">
        <v>12129.54</v>
      </c>
      <c r="F74" s="2">
        <v>0.42222222222222222</v>
      </c>
      <c r="G74">
        <v>12150.77</v>
      </c>
      <c r="H74">
        <v>12121.05</v>
      </c>
      <c r="I74">
        <v>12150.77</v>
      </c>
      <c r="J74" t="s">
        <v>14</v>
      </c>
      <c r="K74">
        <v>21.23</v>
      </c>
      <c r="L74" s="9">
        <v>2.5</v>
      </c>
      <c r="M74">
        <v>1</v>
      </c>
      <c r="N74">
        <v>0</v>
      </c>
    </row>
    <row r="75" spans="1:14" x14ac:dyDescent="0.2">
      <c r="A75" s="1">
        <v>44984</v>
      </c>
      <c r="B75">
        <v>1</v>
      </c>
      <c r="C75" t="s">
        <v>13</v>
      </c>
      <c r="D75" s="2">
        <v>0.44722222222222224</v>
      </c>
      <c r="E75">
        <v>12071.14</v>
      </c>
      <c r="F75" s="2">
        <v>0.4513888888888889</v>
      </c>
      <c r="G75">
        <v>12079.59</v>
      </c>
      <c r="H75">
        <v>12079.59</v>
      </c>
      <c r="I75">
        <v>12050.02</v>
      </c>
      <c r="J75" t="s">
        <v>15</v>
      </c>
      <c r="K75">
        <v>-8.4499999999999993</v>
      </c>
      <c r="L75" s="9">
        <v>-1</v>
      </c>
      <c r="M75">
        <v>0</v>
      </c>
      <c r="N75">
        <v>0</v>
      </c>
    </row>
    <row r="76" spans="1:14" x14ac:dyDescent="0.2">
      <c r="A76" s="1">
        <v>44987</v>
      </c>
      <c r="B76">
        <v>4</v>
      </c>
      <c r="C76" t="s">
        <v>16</v>
      </c>
      <c r="D76" s="2">
        <v>0.3972222222222222</v>
      </c>
      <c r="E76">
        <v>11836.87</v>
      </c>
      <c r="F76" s="2">
        <v>0.39861111111111114</v>
      </c>
      <c r="G76">
        <v>11857.59</v>
      </c>
      <c r="H76">
        <v>11828.59</v>
      </c>
      <c r="I76">
        <v>11857.59</v>
      </c>
      <c r="J76" t="s">
        <v>14</v>
      </c>
      <c r="K76">
        <v>20.71</v>
      </c>
      <c r="L76" s="9">
        <v>2.5</v>
      </c>
      <c r="M76">
        <v>1</v>
      </c>
      <c r="N76">
        <v>0</v>
      </c>
    </row>
    <row r="77" spans="1:14" x14ac:dyDescent="0.2">
      <c r="A77" s="1">
        <v>44987</v>
      </c>
      <c r="B77">
        <v>4</v>
      </c>
      <c r="C77" t="s">
        <v>16</v>
      </c>
      <c r="D77" s="2">
        <v>0.45555555555555555</v>
      </c>
      <c r="E77">
        <v>11903.04</v>
      </c>
      <c r="F77" s="2">
        <v>0.46180555555555558</v>
      </c>
      <c r="G77">
        <v>11894.71</v>
      </c>
      <c r="H77">
        <v>11894.71</v>
      </c>
      <c r="I77">
        <v>11923.87</v>
      </c>
      <c r="J77" t="s">
        <v>15</v>
      </c>
      <c r="K77">
        <v>-8.33</v>
      </c>
      <c r="L77" s="9">
        <v>-1</v>
      </c>
      <c r="M77">
        <v>0</v>
      </c>
      <c r="N77">
        <v>0</v>
      </c>
    </row>
    <row r="78" spans="1:14" x14ac:dyDescent="0.2">
      <c r="A78" s="1">
        <v>44988</v>
      </c>
      <c r="B78">
        <v>5</v>
      </c>
      <c r="C78" t="s">
        <v>13</v>
      </c>
      <c r="D78" s="2">
        <v>0.39791666666666664</v>
      </c>
      <c r="E78">
        <v>12101.53</v>
      </c>
      <c r="F78" s="2">
        <v>0.40069444444444446</v>
      </c>
      <c r="G78">
        <v>12110</v>
      </c>
      <c r="H78">
        <v>12110</v>
      </c>
      <c r="I78">
        <v>12080.35</v>
      </c>
      <c r="J78" t="s">
        <v>15</v>
      </c>
      <c r="K78">
        <v>-8.4700000000000006</v>
      </c>
      <c r="L78" s="9">
        <v>-1</v>
      </c>
      <c r="M78">
        <v>0</v>
      </c>
      <c r="N78">
        <v>2</v>
      </c>
    </row>
    <row r="79" spans="1:14" x14ac:dyDescent="0.2">
      <c r="A79" s="1">
        <v>44988</v>
      </c>
      <c r="B79">
        <v>5</v>
      </c>
      <c r="C79" t="s">
        <v>16</v>
      </c>
      <c r="D79" s="2">
        <v>0.41041666666666665</v>
      </c>
      <c r="E79">
        <v>12143.12</v>
      </c>
      <c r="F79" s="2">
        <v>0.41180555555555554</v>
      </c>
      <c r="G79">
        <v>12164.37</v>
      </c>
      <c r="H79">
        <v>12134.62</v>
      </c>
      <c r="I79">
        <v>12164.37</v>
      </c>
      <c r="J79" t="s">
        <v>14</v>
      </c>
      <c r="K79">
        <v>21.25</v>
      </c>
      <c r="L79" s="9">
        <v>2.5</v>
      </c>
      <c r="M79">
        <v>1</v>
      </c>
      <c r="N79">
        <v>0</v>
      </c>
    </row>
    <row r="80" spans="1:14" x14ac:dyDescent="0.2">
      <c r="A80" s="1">
        <v>44988</v>
      </c>
      <c r="B80">
        <v>5</v>
      </c>
      <c r="C80" t="s">
        <v>16</v>
      </c>
      <c r="D80" s="2">
        <v>0.43472222222222223</v>
      </c>
      <c r="E80">
        <v>12189.49</v>
      </c>
      <c r="F80" s="2">
        <v>0.43958333333333333</v>
      </c>
      <c r="G80">
        <v>12210.82</v>
      </c>
      <c r="H80">
        <v>12180.96</v>
      </c>
      <c r="I80">
        <v>12210.82</v>
      </c>
      <c r="J80" t="s">
        <v>14</v>
      </c>
      <c r="K80">
        <v>21.33</v>
      </c>
      <c r="L80" s="9">
        <v>2.5</v>
      </c>
      <c r="M80">
        <v>1</v>
      </c>
      <c r="N80">
        <v>2</v>
      </c>
    </row>
    <row r="81" spans="1:14" x14ac:dyDescent="0.2">
      <c r="A81" s="1">
        <v>44991</v>
      </c>
      <c r="B81">
        <v>1</v>
      </c>
      <c r="C81" t="s">
        <v>16</v>
      </c>
      <c r="D81" s="2">
        <v>0.40555555555555556</v>
      </c>
      <c r="E81">
        <v>12361.16</v>
      </c>
      <c r="F81" s="2">
        <v>0.40694444444444444</v>
      </c>
      <c r="G81">
        <v>12352.5</v>
      </c>
      <c r="H81">
        <v>12352.5</v>
      </c>
      <c r="I81">
        <v>12382.79</v>
      </c>
      <c r="J81" t="s">
        <v>15</v>
      </c>
      <c r="K81">
        <v>-8.65</v>
      </c>
      <c r="L81" s="9">
        <v>-1</v>
      </c>
      <c r="M81">
        <v>0</v>
      </c>
      <c r="N81">
        <v>0</v>
      </c>
    </row>
    <row r="82" spans="1:14" x14ac:dyDescent="0.2">
      <c r="A82" s="1">
        <v>44991</v>
      </c>
      <c r="B82">
        <v>1</v>
      </c>
      <c r="C82" t="s">
        <v>16</v>
      </c>
      <c r="D82" s="2">
        <v>0.42499999999999999</v>
      </c>
      <c r="E82">
        <v>12376.11</v>
      </c>
      <c r="F82" s="2">
        <v>0.4284722222222222</v>
      </c>
      <c r="G82">
        <v>12397.76</v>
      </c>
      <c r="H82">
        <v>12367.44</v>
      </c>
      <c r="I82">
        <v>12397.76</v>
      </c>
      <c r="J82" t="s">
        <v>14</v>
      </c>
      <c r="K82">
        <v>21.66</v>
      </c>
      <c r="L82" s="9">
        <v>2.5</v>
      </c>
      <c r="M82">
        <v>1</v>
      </c>
      <c r="N82">
        <v>0</v>
      </c>
    </row>
    <row r="83" spans="1:14" x14ac:dyDescent="0.2">
      <c r="A83" s="1">
        <v>44994</v>
      </c>
      <c r="B83">
        <v>4</v>
      </c>
      <c r="C83" t="s">
        <v>16</v>
      </c>
      <c r="D83" s="2">
        <v>0.41111111111111109</v>
      </c>
      <c r="E83">
        <v>12304.36</v>
      </c>
      <c r="F83" s="2">
        <v>0.41875000000000001</v>
      </c>
      <c r="G83">
        <v>12325.89</v>
      </c>
      <c r="H83">
        <v>12295.75</v>
      </c>
      <c r="I83">
        <v>12325.89</v>
      </c>
      <c r="J83" t="s">
        <v>14</v>
      </c>
      <c r="K83">
        <v>21.53</v>
      </c>
      <c r="L83" s="9">
        <v>2.5</v>
      </c>
      <c r="M83">
        <v>1</v>
      </c>
      <c r="N83">
        <v>2</v>
      </c>
    </row>
    <row r="84" spans="1:14" x14ac:dyDescent="0.2">
      <c r="A84" s="1">
        <v>44994</v>
      </c>
      <c r="B84">
        <v>4</v>
      </c>
      <c r="C84" t="s">
        <v>16</v>
      </c>
      <c r="D84" s="2">
        <v>0.44791666666666669</v>
      </c>
      <c r="E84">
        <v>12323.28</v>
      </c>
      <c r="F84" s="2">
        <v>0.4513888888888889</v>
      </c>
      <c r="G84">
        <v>12314.65</v>
      </c>
      <c r="H84">
        <v>12314.65</v>
      </c>
      <c r="I84">
        <v>12344.84</v>
      </c>
      <c r="J84" t="s">
        <v>15</v>
      </c>
      <c r="K84">
        <v>-8.6300000000000008</v>
      </c>
      <c r="L84" s="9">
        <v>-1</v>
      </c>
      <c r="M84">
        <v>0</v>
      </c>
      <c r="N84">
        <v>0</v>
      </c>
    </row>
    <row r="85" spans="1:14" x14ac:dyDescent="0.2">
      <c r="A85" s="1">
        <v>44995</v>
      </c>
      <c r="B85">
        <v>5</v>
      </c>
      <c r="C85" t="s">
        <v>13</v>
      </c>
      <c r="D85" s="2">
        <v>0.40138888888888891</v>
      </c>
      <c r="E85">
        <v>11952.49</v>
      </c>
      <c r="F85" s="2">
        <v>0.40208333333333335</v>
      </c>
      <c r="G85">
        <v>11931.58</v>
      </c>
      <c r="H85">
        <v>11960.86</v>
      </c>
      <c r="I85">
        <v>11931.58</v>
      </c>
      <c r="J85" t="s">
        <v>14</v>
      </c>
      <c r="K85">
        <v>20.92</v>
      </c>
      <c r="L85" s="9">
        <v>2.5</v>
      </c>
      <c r="M85">
        <v>1</v>
      </c>
      <c r="N85">
        <v>0</v>
      </c>
    </row>
    <row r="86" spans="1:14" x14ac:dyDescent="0.2">
      <c r="A86" s="1">
        <v>44998</v>
      </c>
      <c r="B86">
        <v>1</v>
      </c>
      <c r="C86" t="s">
        <v>13</v>
      </c>
      <c r="D86" s="2">
        <v>0.40277777777777779</v>
      </c>
      <c r="E86">
        <v>11732.01</v>
      </c>
      <c r="F86" s="2">
        <v>0.40347222222222223</v>
      </c>
      <c r="G86">
        <v>11740.23</v>
      </c>
      <c r="H86">
        <v>11740.23</v>
      </c>
      <c r="I86">
        <v>11711.48</v>
      </c>
      <c r="J86" t="s">
        <v>17</v>
      </c>
      <c r="K86">
        <v>-8.2100000000000009</v>
      </c>
      <c r="L86" s="9">
        <v>-1</v>
      </c>
      <c r="M86">
        <v>0</v>
      </c>
      <c r="N86">
        <v>0</v>
      </c>
    </row>
    <row r="87" spans="1:14" x14ac:dyDescent="0.2">
      <c r="A87" s="1">
        <v>44998</v>
      </c>
      <c r="B87">
        <v>1</v>
      </c>
      <c r="C87" t="s">
        <v>16</v>
      </c>
      <c r="D87" s="2">
        <v>0.41597222222222224</v>
      </c>
      <c r="E87">
        <v>11884.03</v>
      </c>
      <c r="F87" s="2">
        <v>0.41666666666666669</v>
      </c>
      <c r="G87">
        <v>11875.72</v>
      </c>
      <c r="H87">
        <v>11875.72</v>
      </c>
      <c r="I87">
        <v>11904.83</v>
      </c>
      <c r="J87" t="s">
        <v>15</v>
      </c>
      <c r="K87">
        <v>-8.32</v>
      </c>
      <c r="L87" s="9">
        <v>-1</v>
      </c>
      <c r="M87">
        <v>0</v>
      </c>
      <c r="N87">
        <v>2</v>
      </c>
    </row>
    <row r="88" spans="1:14" x14ac:dyDescent="0.2">
      <c r="A88" s="1">
        <v>44999</v>
      </c>
      <c r="B88">
        <v>2</v>
      </c>
      <c r="C88" t="s">
        <v>16</v>
      </c>
      <c r="D88" s="2">
        <v>0.39791666666666664</v>
      </c>
      <c r="E88">
        <v>12077.18</v>
      </c>
      <c r="F88" s="2">
        <v>0.39861111111111114</v>
      </c>
      <c r="G88">
        <v>12068.73</v>
      </c>
      <c r="H88">
        <v>12068.73</v>
      </c>
      <c r="I88">
        <v>12098.32</v>
      </c>
      <c r="J88" t="s">
        <v>15</v>
      </c>
      <c r="K88">
        <v>-8.4499999999999993</v>
      </c>
      <c r="L88" s="9">
        <v>-1</v>
      </c>
      <c r="M88">
        <v>0</v>
      </c>
      <c r="N88">
        <v>3</v>
      </c>
    </row>
    <row r="89" spans="1:14" x14ac:dyDescent="0.2">
      <c r="A89" s="1">
        <v>44999</v>
      </c>
      <c r="B89">
        <v>2</v>
      </c>
      <c r="C89" t="s">
        <v>16</v>
      </c>
      <c r="D89" s="2">
        <v>0.42083333333333334</v>
      </c>
      <c r="E89">
        <v>12130.78</v>
      </c>
      <c r="F89" s="2">
        <v>0.4236111111111111</v>
      </c>
      <c r="G89">
        <v>12122.29</v>
      </c>
      <c r="H89">
        <v>12122.29</v>
      </c>
      <c r="I89">
        <v>12152.01</v>
      </c>
      <c r="J89" t="s">
        <v>15</v>
      </c>
      <c r="K89">
        <v>-8.49</v>
      </c>
      <c r="L89" s="9">
        <v>-1</v>
      </c>
      <c r="M89">
        <v>0</v>
      </c>
      <c r="N89">
        <v>4</v>
      </c>
    </row>
    <row r="90" spans="1:14" x14ac:dyDescent="0.2">
      <c r="A90" s="1">
        <v>45000</v>
      </c>
      <c r="B90">
        <v>3</v>
      </c>
      <c r="C90" t="s">
        <v>16</v>
      </c>
      <c r="D90" s="2">
        <v>0.3972222222222222</v>
      </c>
      <c r="E90">
        <v>12079.07</v>
      </c>
      <c r="F90" s="2">
        <v>0.39791666666666664</v>
      </c>
      <c r="G90">
        <v>12100.21</v>
      </c>
      <c r="H90">
        <v>12070.61</v>
      </c>
      <c r="I90">
        <v>12100.21</v>
      </c>
      <c r="J90" t="s">
        <v>14</v>
      </c>
      <c r="K90">
        <v>21.14</v>
      </c>
      <c r="L90" s="9">
        <v>2.5</v>
      </c>
      <c r="M90">
        <v>1</v>
      </c>
      <c r="N90">
        <v>0</v>
      </c>
    </row>
    <row r="91" spans="1:14" x14ac:dyDescent="0.2">
      <c r="A91" s="1">
        <v>45000</v>
      </c>
      <c r="B91">
        <v>3</v>
      </c>
      <c r="C91" t="s">
        <v>13</v>
      </c>
      <c r="D91" s="2">
        <v>0.43611111111111112</v>
      </c>
      <c r="E91">
        <v>12068.09</v>
      </c>
      <c r="F91" s="2">
        <v>0.43680555555555556</v>
      </c>
      <c r="G91">
        <v>12076.54</v>
      </c>
      <c r="H91">
        <v>12076.54</v>
      </c>
      <c r="I91">
        <v>12046.97</v>
      </c>
      <c r="J91" t="s">
        <v>15</v>
      </c>
      <c r="K91">
        <v>-8.4499999999999993</v>
      </c>
      <c r="L91" s="9">
        <v>-1</v>
      </c>
      <c r="M91">
        <v>0</v>
      </c>
      <c r="N91">
        <v>0</v>
      </c>
    </row>
    <row r="92" spans="1:14" x14ac:dyDescent="0.2">
      <c r="A92" s="1">
        <v>45001</v>
      </c>
      <c r="B92">
        <v>4</v>
      </c>
      <c r="C92" t="s">
        <v>13</v>
      </c>
      <c r="D92" s="2">
        <v>0.3972222222222222</v>
      </c>
      <c r="E92">
        <v>12208.04</v>
      </c>
      <c r="F92" s="2">
        <v>0.4</v>
      </c>
      <c r="G92">
        <v>12186.68</v>
      </c>
      <c r="H92">
        <v>12216.59</v>
      </c>
      <c r="I92">
        <v>12186.68</v>
      </c>
      <c r="J92" t="s">
        <v>14</v>
      </c>
      <c r="K92">
        <v>21.36</v>
      </c>
      <c r="L92" s="9">
        <v>2.5</v>
      </c>
      <c r="M92">
        <v>1</v>
      </c>
      <c r="N92">
        <v>0</v>
      </c>
    </row>
    <row r="93" spans="1:14" x14ac:dyDescent="0.2">
      <c r="A93" s="1">
        <v>45001</v>
      </c>
      <c r="B93">
        <v>4</v>
      </c>
      <c r="C93" t="s">
        <v>16</v>
      </c>
      <c r="D93" s="2">
        <v>0.41319444444444442</v>
      </c>
      <c r="E93">
        <v>12244.36</v>
      </c>
      <c r="F93" s="2">
        <v>0.41388888888888886</v>
      </c>
      <c r="G93">
        <v>12265.79</v>
      </c>
      <c r="H93">
        <v>12235.79</v>
      </c>
      <c r="I93">
        <v>12265.79</v>
      </c>
      <c r="J93" t="s">
        <v>14</v>
      </c>
      <c r="K93">
        <v>21.43</v>
      </c>
      <c r="L93" s="9">
        <v>2.5</v>
      </c>
      <c r="M93">
        <v>1</v>
      </c>
      <c r="N93">
        <v>2</v>
      </c>
    </row>
    <row r="94" spans="1:14" x14ac:dyDescent="0.2">
      <c r="A94" s="1">
        <v>45001</v>
      </c>
      <c r="B94">
        <v>4</v>
      </c>
      <c r="C94" t="s">
        <v>16</v>
      </c>
      <c r="D94" s="2">
        <v>0.44444444444444442</v>
      </c>
      <c r="E94">
        <v>12281.83</v>
      </c>
      <c r="F94" s="2">
        <v>0.44513888888888886</v>
      </c>
      <c r="G94">
        <v>12303.32</v>
      </c>
      <c r="H94">
        <v>12273.23</v>
      </c>
      <c r="I94">
        <v>12303.32</v>
      </c>
      <c r="J94" t="s">
        <v>14</v>
      </c>
      <c r="K94">
        <v>21.49</v>
      </c>
      <c r="L94" s="9">
        <v>2.5</v>
      </c>
      <c r="M94">
        <v>1</v>
      </c>
      <c r="N94">
        <v>3</v>
      </c>
    </row>
    <row r="95" spans="1:14" x14ac:dyDescent="0.2">
      <c r="A95" s="1">
        <v>45002</v>
      </c>
      <c r="B95">
        <v>5</v>
      </c>
      <c r="C95" t="s">
        <v>16</v>
      </c>
      <c r="D95" s="2">
        <v>0.40347222222222223</v>
      </c>
      <c r="E95">
        <v>12599.31</v>
      </c>
      <c r="F95" s="2">
        <v>0.40416666666666667</v>
      </c>
      <c r="G95">
        <v>12590.49</v>
      </c>
      <c r="H95">
        <v>12590.49</v>
      </c>
      <c r="I95">
        <v>12621.36</v>
      </c>
      <c r="J95" t="s">
        <v>15</v>
      </c>
      <c r="K95">
        <v>-8.82</v>
      </c>
      <c r="L95" s="9">
        <v>-1</v>
      </c>
      <c r="M95">
        <v>0</v>
      </c>
      <c r="N95">
        <v>0</v>
      </c>
    </row>
    <row r="96" spans="1:14" x14ac:dyDescent="0.2">
      <c r="A96" s="1">
        <v>45002</v>
      </c>
      <c r="B96">
        <v>5</v>
      </c>
      <c r="C96" t="s">
        <v>16</v>
      </c>
      <c r="D96" s="2">
        <v>0.4201388888888889</v>
      </c>
      <c r="E96">
        <v>12649.09</v>
      </c>
      <c r="F96" s="2">
        <v>0.42152777777777778</v>
      </c>
      <c r="G96">
        <v>12640.24</v>
      </c>
      <c r="H96">
        <v>12640.24</v>
      </c>
      <c r="I96">
        <v>12671.23</v>
      </c>
      <c r="J96" t="s">
        <v>15</v>
      </c>
      <c r="K96">
        <v>-8.85</v>
      </c>
      <c r="L96" s="9">
        <v>-1</v>
      </c>
      <c r="M96">
        <v>0</v>
      </c>
      <c r="N96">
        <v>2</v>
      </c>
    </row>
    <row r="97" spans="1:14" x14ac:dyDescent="0.2">
      <c r="A97" s="1">
        <v>45002</v>
      </c>
      <c r="B97">
        <v>5</v>
      </c>
      <c r="C97" t="s">
        <v>13</v>
      </c>
      <c r="D97" s="2">
        <v>0.43472222222222223</v>
      </c>
      <c r="E97">
        <v>12569.46</v>
      </c>
      <c r="F97" s="2">
        <v>0.43541666666666667</v>
      </c>
      <c r="G97">
        <v>12547.46</v>
      </c>
      <c r="H97">
        <v>12578.25</v>
      </c>
      <c r="I97">
        <v>12547.46</v>
      </c>
      <c r="J97" t="s">
        <v>14</v>
      </c>
      <c r="K97">
        <v>22</v>
      </c>
      <c r="L97" s="9">
        <v>2.5</v>
      </c>
      <c r="M97">
        <v>1</v>
      </c>
      <c r="N97">
        <v>0</v>
      </c>
    </row>
    <row r="98" spans="1:14" x14ac:dyDescent="0.2">
      <c r="A98" s="1">
        <v>45005</v>
      </c>
      <c r="B98">
        <v>1</v>
      </c>
      <c r="C98" t="s">
        <v>13</v>
      </c>
      <c r="D98" s="2">
        <v>0.39583333333333331</v>
      </c>
      <c r="E98">
        <v>12498.48</v>
      </c>
      <c r="F98" s="2">
        <v>0.39652777777777776</v>
      </c>
      <c r="G98">
        <v>12476.61</v>
      </c>
      <c r="H98">
        <v>12507.23</v>
      </c>
      <c r="I98">
        <v>12476.61</v>
      </c>
      <c r="J98" t="s">
        <v>14</v>
      </c>
      <c r="K98">
        <v>21.87</v>
      </c>
      <c r="L98" s="9">
        <v>2.5</v>
      </c>
      <c r="M98">
        <v>1</v>
      </c>
      <c r="N98">
        <v>2</v>
      </c>
    </row>
    <row r="99" spans="1:14" x14ac:dyDescent="0.2">
      <c r="A99" s="1">
        <v>45005</v>
      </c>
      <c r="B99">
        <v>1</v>
      </c>
      <c r="C99" t="s">
        <v>16</v>
      </c>
      <c r="D99" s="2">
        <v>0.43888888888888888</v>
      </c>
      <c r="E99">
        <v>12479.98</v>
      </c>
      <c r="F99" s="2">
        <v>0.43958333333333333</v>
      </c>
      <c r="G99">
        <v>12471.24</v>
      </c>
      <c r="H99">
        <v>12471.24</v>
      </c>
      <c r="I99">
        <v>12501.82</v>
      </c>
      <c r="J99" t="s">
        <v>15</v>
      </c>
      <c r="K99">
        <v>-8.74</v>
      </c>
      <c r="L99" s="9">
        <v>-1</v>
      </c>
      <c r="M99">
        <v>0</v>
      </c>
      <c r="N99">
        <v>0</v>
      </c>
    </row>
    <row r="100" spans="1:14" x14ac:dyDescent="0.2">
      <c r="A100" s="1">
        <v>45005</v>
      </c>
      <c r="B100">
        <v>1</v>
      </c>
      <c r="C100" t="s">
        <v>16</v>
      </c>
      <c r="D100" s="2">
        <v>0.45347222222222222</v>
      </c>
      <c r="E100">
        <v>12491.97</v>
      </c>
      <c r="F100" s="2">
        <v>0.45694444444444443</v>
      </c>
      <c r="G100">
        <v>12513.83</v>
      </c>
      <c r="H100">
        <v>12483.23</v>
      </c>
      <c r="I100">
        <v>12513.83</v>
      </c>
      <c r="J100" t="s">
        <v>14</v>
      </c>
      <c r="K100">
        <v>21.86</v>
      </c>
      <c r="L100" s="9">
        <v>2.5</v>
      </c>
      <c r="M100">
        <v>1</v>
      </c>
      <c r="N100">
        <v>0</v>
      </c>
    </row>
    <row r="101" spans="1:14" x14ac:dyDescent="0.2">
      <c r="A101" s="1">
        <v>45006</v>
      </c>
      <c r="B101">
        <v>2</v>
      </c>
      <c r="C101" t="s">
        <v>16</v>
      </c>
      <c r="D101" s="2">
        <v>0.4</v>
      </c>
      <c r="E101">
        <v>12667.36</v>
      </c>
      <c r="F101" s="2">
        <v>0.40138888888888891</v>
      </c>
      <c r="G101">
        <v>12658.49</v>
      </c>
      <c r="H101">
        <v>12658.49</v>
      </c>
      <c r="I101">
        <v>12689.52</v>
      </c>
      <c r="J101" t="s">
        <v>15</v>
      </c>
      <c r="K101">
        <v>-8.8699999999999992</v>
      </c>
      <c r="L101" s="9">
        <v>-1</v>
      </c>
      <c r="M101">
        <v>0</v>
      </c>
      <c r="N101">
        <v>0</v>
      </c>
    </row>
    <row r="102" spans="1:14" x14ac:dyDescent="0.2">
      <c r="A102" s="1">
        <v>45006</v>
      </c>
      <c r="B102">
        <v>2</v>
      </c>
      <c r="C102" t="s">
        <v>16</v>
      </c>
      <c r="D102" s="2">
        <v>0.41805555555555557</v>
      </c>
      <c r="E102">
        <v>12686.21</v>
      </c>
      <c r="F102" s="2">
        <v>0.41944444444444445</v>
      </c>
      <c r="G102">
        <v>12677.33</v>
      </c>
      <c r="H102">
        <v>12677.33</v>
      </c>
      <c r="I102">
        <v>12708.41</v>
      </c>
      <c r="J102" t="s">
        <v>15</v>
      </c>
      <c r="K102">
        <v>-8.8800000000000008</v>
      </c>
      <c r="L102" s="9">
        <v>-1</v>
      </c>
      <c r="M102">
        <v>0</v>
      </c>
      <c r="N102">
        <v>2</v>
      </c>
    </row>
    <row r="103" spans="1:14" x14ac:dyDescent="0.2">
      <c r="A103" s="1">
        <v>45006</v>
      </c>
      <c r="B103">
        <v>2</v>
      </c>
      <c r="C103" t="s">
        <v>13</v>
      </c>
      <c r="D103" s="2">
        <v>0.42986111111111114</v>
      </c>
      <c r="E103">
        <v>12642.52</v>
      </c>
      <c r="F103" s="2">
        <v>0.43333333333333335</v>
      </c>
      <c r="G103">
        <v>12620.39</v>
      </c>
      <c r="H103">
        <v>12651.37</v>
      </c>
      <c r="I103">
        <v>12620.39</v>
      </c>
      <c r="J103" t="s">
        <v>14</v>
      </c>
      <c r="K103">
        <v>22.12</v>
      </c>
      <c r="L103" s="9">
        <v>2.5</v>
      </c>
      <c r="M103">
        <v>1</v>
      </c>
      <c r="N103">
        <v>0</v>
      </c>
    </row>
    <row r="104" spans="1:14" x14ac:dyDescent="0.2">
      <c r="A104" s="1">
        <v>45008</v>
      </c>
      <c r="B104">
        <v>4</v>
      </c>
      <c r="C104" t="s">
        <v>16</v>
      </c>
      <c r="D104" s="2">
        <v>0.39861111111111114</v>
      </c>
      <c r="E104">
        <v>12733.87</v>
      </c>
      <c r="F104" s="2">
        <v>0.4</v>
      </c>
      <c r="G104">
        <v>12724.95</v>
      </c>
      <c r="H104">
        <v>12724.95</v>
      </c>
      <c r="I104">
        <v>12756.15</v>
      </c>
      <c r="J104" t="s">
        <v>15</v>
      </c>
      <c r="K104">
        <v>-8.91</v>
      </c>
      <c r="L104" s="9">
        <v>-1</v>
      </c>
      <c r="M104">
        <v>0</v>
      </c>
      <c r="N104">
        <v>0</v>
      </c>
    </row>
    <row r="105" spans="1:14" x14ac:dyDescent="0.2">
      <c r="A105" s="1">
        <v>45008</v>
      </c>
      <c r="B105">
        <v>4</v>
      </c>
      <c r="C105" t="s">
        <v>16</v>
      </c>
      <c r="D105" s="2">
        <v>0.4548611111111111</v>
      </c>
      <c r="E105">
        <v>12863.14</v>
      </c>
      <c r="F105" s="2">
        <v>0.45624999999999999</v>
      </c>
      <c r="G105">
        <v>12854.14</v>
      </c>
      <c r="H105">
        <v>12854.14</v>
      </c>
      <c r="I105">
        <v>12885.65</v>
      </c>
      <c r="J105" t="s">
        <v>15</v>
      </c>
      <c r="K105">
        <v>-9</v>
      </c>
      <c r="L105" s="9">
        <v>-1</v>
      </c>
      <c r="M105">
        <v>0</v>
      </c>
      <c r="N105">
        <v>2</v>
      </c>
    </row>
    <row r="106" spans="1:14" x14ac:dyDescent="0.2">
      <c r="A106" s="1">
        <v>45012</v>
      </c>
      <c r="B106">
        <v>1</v>
      </c>
      <c r="C106" t="s">
        <v>13</v>
      </c>
      <c r="D106" s="2">
        <v>0.39861111111111114</v>
      </c>
      <c r="E106">
        <v>12782.49</v>
      </c>
      <c r="F106" s="2">
        <v>0.39930555555555558</v>
      </c>
      <c r="G106">
        <v>12791.44</v>
      </c>
      <c r="H106">
        <v>12791.44</v>
      </c>
      <c r="I106">
        <v>12760.12</v>
      </c>
      <c r="J106" t="s">
        <v>15</v>
      </c>
      <c r="K106">
        <v>-8.9499999999999993</v>
      </c>
      <c r="L106" s="9">
        <v>-1</v>
      </c>
      <c r="M106">
        <v>0</v>
      </c>
      <c r="N106">
        <v>3</v>
      </c>
    </row>
    <row r="107" spans="1:14" x14ac:dyDescent="0.2">
      <c r="A107" s="1">
        <v>45012</v>
      </c>
      <c r="B107">
        <v>1</v>
      </c>
      <c r="C107" t="s">
        <v>16</v>
      </c>
      <c r="D107" s="2">
        <v>0.41111111111111109</v>
      </c>
      <c r="E107">
        <v>12826.31</v>
      </c>
      <c r="F107" s="2">
        <v>0.41249999999999998</v>
      </c>
      <c r="G107">
        <v>12817.33</v>
      </c>
      <c r="H107">
        <v>12817.33</v>
      </c>
      <c r="I107">
        <v>12848.76</v>
      </c>
      <c r="J107" t="s">
        <v>15</v>
      </c>
      <c r="K107">
        <v>-8.98</v>
      </c>
      <c r="L107" s="9">
        <v>-1</v>
      </c>
      <c r="M107">
        <v>0</v>
      </c>
      <c r="N107">
        <v>4</v>
      </c>
    </row>
    <row r="108" spans="1:14" x14ac:dyDescent="0.2">
      <c r="A108" s="1">
        <v>45012</v>
      </c>
      <c r="B108">
        <v>1</v>
      </c>
      <c r="C108" t="s">
        <v>13</v>
      </c>
      <c r="D108" s="2">
        <v>0.43958333333333333</v>
      </c>
      <c r="E108">
        <v>12767.06</v>
      </c>
      <c r="F108" s="2">
        <v>0.44166666666666665</v>
      </c>
      <c r="G108">
        <v>12744.72</v>
      </c>
      <c r="H108">
        <v>12776</v>
      </c>
      <c r="I108">
        <v>12744.72</v>
      </c>
      <c r="J108" t="s">
        <v>14</v>
      </c>
      <c r="K108">
        <v>22.34</v>
      </c>
      <c r="L108" s="9">
        <v>2.5</v>
      </c>
      <c r="M108">
        <v>1</v>
      </c>
      <c r="N108">
        <v>0</v>
      </c>
    </row>
    <row r="109" spans="1:14" x14ac:dyDescent="0.2">
      <c r="A109" s="1">
        <v>45014</v>
      </c>
      <c r="B109">
        <v>3</v>
      </c>
      <c r="C109" t="s">
        <v>16</v>
      </c>
      <c r="D109" s="2">
        <v>0.39930555555555558</v>
      </c>
      <c r="E109">
        <v>12782.48</v>
      </c>
      <c r="F109" s="2">
        <v>0.40833333333333333</v>
      </c>
      <c r="G109">
        <v>12804.85</v>
      </c>
      <c r="H109">
        <v>12773.53</v>
      </c>
      <c r="I109">
        <v>12804.85</v>
      </c>
      <c r="J109" t="s">
        <v>14</v>
      </c>
      <c r="K109">
        <v>22.37</v>
      </c>
      <c r="L109" s="9">
        <v>2.5</v>
      </c>
      <c r="M109">
        <v>1</v>
      </c>
      <c r="N109">
        <v>2</v>
      </c>
    </row>
    <row r="110" spans="1:14" x14ac:dyDescent="0.2">
      <c r="A110" s="1">
        <v>45014</v>
      </c>
      <c r="B110">
        <v>3</v>
      </c>
      <c r="C110" t="s">
        <v>13</v>
      </c>
      <c r="D110" s="2">
        <v>0.43680555555555556</v>
      </c>
      <c r="E110">
        <v>12769.27</v>
      </c>
      <c r="F110" s="2">
        <v>0.44305555555555554</v>
      </c>
      <c r="G110">
        <v>12746.93</v>
      </c>
      <c r="H110">
        <v>12778.21</v>
      </c>
      <c r="I110">
        <v>12746.93</v>
      </c>
      <c r="J110" t="s">
        <v>14</v>
      </c>
      <c r="K110">
        <v>22.35</v>
      </c>
      <c r="L110" s="9">
        <v>2.5</v>
      </c>
      <c r="M110">
        <v>1</v>
      </c>
      <c r="N110">
        <v>3</v>
      </c>
    </row>
    <row r="111" spans="1:14" x14ac:dyDescent="0.2">
      <c r="A111" s="1">
        <v>45015</v>
      </c>
      <c r="B111">
        <v>4</v>
      </c>
      <c r="C111" t="s">
        <v>16</v>
      </c>
      <c r="D111" s="2">
        <v>0.41805555555555557</v>
      </c>
      <c r="E111">
        <v>12952.77</v>
      </c>
      <c r="F111" s="2">
        <v>0.4201388888888889</v>
      </c>
      <c r="G111">
        <v>12943.71</v>
      </c>
      <c r="H111">
        <v>12943.71</v>
      </c>
      <c r="I111">
        <v>12975.44</v>
      </c>
      <c r="J111" t="s">
        <v>15</v>
      </c>
      <c r="K111">
        <v>-9.07</v>
      </c>
      <c r="L111" s="9">
        <v>-1</v>
      </c>
      <c r="M111">
        <v>0</v>
      </c>
      <c r="N111">
        <v>0</v>
      </c>
    </row>
    <row r="112" spans="1:14" x14ac:dyDescent="0.2">
      <c r="A112" s="1">
        <v>45015</v>
      </c>
      <c r="B112">
        <v>4</v>
      </c>
      <c r="C112" t="s">
        <v>16</v>
      </c>
      <c r="D112" s="2">
        <v>0.43958333333333333</v>
      </c>
      <c r="E112">
        <v>12975.63</v>
      </c>
      <c r="F112" s="2">
        <v>0.44027777777777777</v>
      </c>
      <c r="G112">
        <v>12966.55</v>
      </c>
      <c r="H112">
        <v>12966.55</v>
      </c>
      <c r="I112">
        <v>12998.34</v>
      </c>
      <c r="J112" t="s">
        <v>15</v>
      </c>
      <c r="K112">
        <v>-9.08</v>
      </c>
      <c r="L112" s="9">
        <v>-1</v>
      </c>
      <c r="M112">
        <v>0</v>
      </c>
      <c r="N112">
        <v>2</v>
      </c>
    </row>
    <row r="113" spans="1:14" x14ac:dyDescent="0.2">
      <c r="A113" s="1">
        <v>45016</v>
      </c>
      <c r="B113">
        <v>5</v>
      </c>
      <c r="C113" t="s">
        <v>16</v>
      </c>
      <c r="D113" s="2">
        <v>0.40555555555555556</v>
      </c>
      <c r="E113">
        <v>13009.57</v>
      </c>
      <c r="F113" s="2">
        <v>0.41111111111111109</v>
      </c>
      <c r="G113">
        <v>13032.33</v>
      </c>
      <c r="H113">
        <v>13000.46</v>
      </c>
      <c r="I113">
        <v>13032.33</v>
      </c>
      <c r="J113" t="s">
        <v>14</v>
      </c>
      <c r="K113">
        <v>22.77</v>
      </c>
      <c r="L113" s="9">
        <v>2.5</v>
      </c>
      <c r="M113">
        <v>1</v>
      </c>
      <c r="N113">
        <v>0</v>
      </c>
    </row>
    <row r="114" spans="1:14" x14ac:dyDescent="0.2">
      <c r="A114" s="1">
        <v>45016</v>
      </c>
      <c r="B114">
        <v>5</v>
      </c>
      <c r="C114" t="s">
        <v>16</v>
      </c>
      <c r="D114" s="2">
        <v>0.44305555555555554</v>
      </c>
      <c r="E114">
        <v>13050.04</v>
      </c>
      <c r="F114" s="2">
        <v>0.47361111111111109</v>
      </c>
      <c r="G114">
        <v>13072.87</v>
      </c>
      <c r="H114">
        <v>13040.9</v>
      </c>
      <c r="I114">
        <v>13072.87</v>
      </c>
      <c r="J114" t="s">
        <v>14</v>
      </c>
      <c r="K114">
        <v>22.84</v>
      </c>
      <c r="L114" s="9">
        <v>2.5</v>
      </c>
      <c r="M114">
        <v>1</v>
      </c>
      <c r="N114">
        <v>2</v>
      </c>
    </row>
    <row r="115" spans="1:14" x14ac:dyDescent="0.2">
      <c r="A115" s="1">
        <v>45020</v>
      </c>
      <c r="B115">
        <v>2</v>
      </c>
      <c r="C115" t="s">
        <v>13</v>
      </c>
      <c r="D115" s="2">
        <v>0.40694444444444444</v>
      </c>
      <c r="E115">
        <v>13123.44</v>
      </c>
      <c r="F115" s="2">
        <v>0.40763888888888888</v>
      </c>
      <c r="G115">
        <v>13132.62</v>
      </c>
      <c r="H115">
        <v>13132.62</v>
      </c>
      <c r="I115">
        <v>13100.47</v>
      </c>
      <c r="J115" t="s">
        <v>15</v>
      </c>
      <c r="K115">
        <v>-9.19</v>
      </c>
      <c r="L115" s="9">
        <v>-1</v>
      </c>
      <c r="M115">
        <v>0</v>
      </c>
      <c r="N115">
        <v>0</v>
      </c>
    </row>
    <row r="116" spans="1:14" x14ac:dyDescent="0.2">
      <c r="A116" s="1">
        <v>45020</v>
      </c>
      <c r="B116">
        <v>2</v>
      </c>
      <c r="C116" t="s">
        <v>16</v>
      </c>
      <c r="D116" s="2">
        <v>0.42777777777777776</v>
      </c>
      <c r="E116">
        <v>13191.89</v>
      </c>
      <c r="F116" s="2">
        <v>0.4284722222222222</v>
      </c>
      <c r="G116">
        <v>13182.65</v>
      </c>
      <c r="H116">
        <v>13182.65</v>
      </c>
      <c r="I116">
        <v>13214.97</v>
      </c>
      <c r="J116" t="s">
        <v>15</v>
      </c>
      <c r="K116">
        <v>-9.23</v>
      </c>
      <c r="L116" s="9">
        <v>-1</v>
      </c>
      <c r="M116">
        <v>0</v>
      </c>
      <c r="N116">
        <v>2</v>
      </c>
    </row>
    <row r="117" spans="1:14" x14ac:dyDescent="0.2">
      <c r="A117" s="1">
        <v>45020</v>
      </c>
      <c r="B117">
        <v>2</v>
      </c>
      <c r="C117" t="s">
        <v>13</v>
      </c>
      <c r="D117" s="2">
        <v>0.4513888888888889</v>
      </c>
      <c r="E117">
        <v>13146.73</v>
      </c>
      <c r="F117" s="2">
        <v>0.45416666666666666</v>
      </c>
      <c r="G117">
        <v>13155.94</v>
      </c>
      <c r="H117">
        <v>13155.94</v>
      </c>
      <c r="I117">
        <v>13123.73</v>
      </c>
      <c r="J117" t="s">
        <v>15</v>
      </c>
      <c r="K117">
        <v>-9.1999999999999993</v>
      </c>
      <c r="L117" s="9">
        <v>-1</v>
      </c>
      <c r="M117">
        <v>0</v>
      </c>
      <c r="N117">
        <v>3</v>
      </c>
    </row>
    <row r="118" spans="1:14" x14ac:dyDescent="0.2">
      <c r="A118" s="1">
        <v>45022</v>
      </c>
      <c r="B118">
        <v>4</v>
      </c>
      <c r="C118" t="s">
        <v>13</v>
      </c>
      <c r="D118" s="2">
        <v>0.40069444444444446</v>
      </c>
      <c r="E118">
        <v>12859.9</v>
      </c>
      <c r="F118" s="2">
        <v>0.40138888888888891</v>
      </c>
      <c r="G118">
        <v>12868.9</v>
      </c>
      <c r="H118">
        <v>12868.9</v>
      </c>
      <c r="I118">
        <v>12837.39</v>
      </c>
      <c r="J118" t="s">
        <v>15</v>
      </c>
      <c r="K118">
        <v>-9</v>
      </c>
      <c r="L118" s="9">
        <v>-1</v>
      </c>
      <c r="M118">
        <v>0</v>
      </c>
      <c r="N118">
        <v>4</v>
      </c>
    </row>
    <row r="119" spans="1:14" x14ac:dyDescent="0.2">
      <c r="A119" s="1">
        <v>45022</v>
      </c>
      <c r="B119">
        <v>4</v>
      </c>
      <c r="C119" t="s">
        <v>16</v>
      </c>
      <c r="D119" s="2">
        <v>0.42291666666666666</v>
      </c>
      <c r="E119">
        <v>12911.47</v>
      </c>
      <c r="F119" s="2">
        <v>0.42430555555555555</v>
      </c>
      <c r="G119">
        <v>12934.06</v>
      </c>
      <c r="H119">
        <v>12902.43</v>
      </c>
      <c r="I119">
        <v>12934.06</v>
      </c>
      <c r="J119" t="s">
        <v>14</v>
      </c>
      <c r="K119">
        <v>22.6</v>
      </c>
      <c r="L119" s="9">
        <v>2.5</v>
      </c>
      <c r="M119">
        <v>1</v>
      </c>
      <c r="N119">
        <v>0</v>
      </c>
    </row>
    <row r="120" spans="1:14" x14ac:dyDescent="0.2">
      <c r="A120" s="1">
        <v>45026</v>
      </c>
      <c r="B120">
        <v>1</v>
      </c>
      <c r="C120" t="s">
        <v>13</v>
      </c>
      <c r="D120" s="2">
        <v>0.39583333333333331</v>
      </c>
      <c r="E120">
        <v>12933.19</v>
      </c>
      <c r="F120" s="2">
        <v>0.3972222222222222</v>
      </c>
      <c r="G120">
        <v>12910.55</v>
      </c>
      <c r="H120">
        <v>12942.24</v>
      </c>
      <c r="I120">
        <v>12910.55</v>
      </c>
      <c r="J120" t="s">
        <v>14</v>
      </c>
      <c r="K120">
        <v>22.63</v>
      </c>
      <c r="L120" s="9">
        <v>2.5</v>
      </c>
      <c r="M120">
        <v>1</v>
      </c>
      <c r="N120">
        <v>2</v>
      </c>
    </row>
    <row r="121" spans="1:14" x14ac:dyDescent="0.2">
      <c r="A121" s="1">
        <v>45026</v>
      </c>
      <c r="B121">
        <v>1</v>
      </c>
      <c r="C121" t="s">
        <v>16</v>
      </c>
      <c r="D121" s="2">
        <v>0.42986111111111114</v>
      </c>
      <c r="E121">
        <v>12902.03</v>
      </c>
      <c r="F121" s="2">
        <v>0.43055555555555558</v>
      </c>
      <c r="G121">
        <v>12893</v>
      </c>
      <c r="H121">
        <v>12893</v>
      </c>
      <c r="I121">
        <v>12924.61</v>
      </c>
      <c r="J121" t="s">
        <v>15</v>
      </c>
      <c r="K121">
        <v>-9.0299999999999994</v>
      </c>
      <c r="L121" s="9">
        <v>-1</v>
      </c>
      <c r="M121">
        <v>0</v>
      </c>
      <c r="N121">
        <v>0</v>
      </c>
    </row>
    <row r="122" spans="1:14" x14ac:dyDescent="0.2">
      <c r="A122" s="1">
        <v>45026</v>
      </c>
      <c r="B122">
        <v>1</v>
      </c>
      <c r="C122" t="s">
        <v>16</v>
      </c>
      <c r="D122" s="2">
        <v>0.44513888888888886</v>
      </c>
      <c r="E122">
        <v>12914.18</v>
      </c>
      <c r="F122" s="2">
        <v>0.46111111111111114</v>
      </c>
      <c r="G122">
        <v>12936.78</v>
      </c>
      <c r="H122">
        <v>12905.14</v>
      </c>
      <c r="I122">
        <v>12936.78</v>
      </c>
      <c r="J122" t="s">
        <v>14</v>
      </c>
      <c r="K122">
        <v>22.6</v>
      </c>
      <c r="L122" s="9">
        <v>2.5</v>
      </c>
      <c r="M122">
        <v>1</v>
      </c>
      <c r="N122">
        <v>0</v>
      </c>
    </row>
    <row r="123" spans="1:14" x14ac:dyDescent="0.2">
      <c r="A123" s="1">
        <v>45027</v>
      </c>
      <c r="B123">
        <v>2</v>
      </c>
      <c r="C123" t="s">
        <v>13</v>
      </c>
      <c r="D123" s="2">
        <v>0.40555555555555556</v>
      </c>
      <c r="E123">
        <v>13001.38</v>
      </c>
      <c r="F123" s="2">
        <v>0.40833333333333333</v>
      </c>
      <c r="G123">
        <v>13010.48</v>
      </c>
      <c r="H123">
        <v>13010.48</v>
      </c>
      <c r="I123">
        <v>12978.62</v>
      </c>
      <c r="J123" t="s">
        <v>15</v>
      </c>
      <c r="K123">
        <v>-9.1</v>
      </c>
      <c r="L123" s="9">
        <v>-1</v>
      </c>
      <c r="M123">
        <v>0</v>
      </c>
      <c r="N123">
        <v>0</v>
      </c>
    </row>
    <row r="124" spans="1:14" x14ac:dyDescent="0.2">
      <c r="A124" s="1">
        <v>45027</v>
      </c>
      <c r="B124">
        <v>2</v>
      </c>
      <c r="C124" t="s">
        <v>13</v>
      </c>
      <c r="D124" s="2">
        <v>0.45</v>
      </c>
      <c r="E124">
        <v>12960.9</v>
      </c>
      <c r="F124" s="2">
        <v>0.45069444444444445</v>
      </c>
      <c r="G124">
        <v>12969.98</v>
      </c>
      <c r="H124">
        <v>12969.98</v>
      </c>
      <c r="I124">
        <v>12938.22</v>
      </c>
      <c r="J124" t="s">
        <v>15</v>
      </c>
      <c r="K124">
        <v>-9.07</v>
      </c>
      <c r="L124" s="9">
        <v>-1</v>
      </c>
      <c r="M124">
        <v>0</v>
      </c>
      <c r="N124">
        <v>2</v>
      </c>
    </row>
    <row r="125" spans="1:14" x14ac:dyDescent="0.2">
      <c r="A125" s="1">
        <v>45028</v>
      </c>
      <c r="B125">
        <v>3</v>
      </c>
      <c r="C125" t="s">
        <v>13</v>
      </c>
      <c r="D125" s="2">
        <v>0.39583333333333331</v>
      </c>
      <c r="E125">
        <v>13045.43</v>
      </c>
      <c r="F125" s="2">
        <v>0.39652777777777776</v>
      </c>
      <c r="G125">
        <v>13054.57</v>
      </c>
      <c r="H125">
        <v>13054.57</v>
      </c>
      <c r="I125">
        <v>13022.61</v>
      </c>
      <c r="J125" t="s">
        <v>15</v>
      </c>
      <c r="K125">
        <v>-9.1300000000000008</v>
      </c>
      <c r="L125" s="9">
        <v>-1</v>
      </c>
      <c r="M125">
        <v>0</v>
      </c>
      <c r="N125">
        <v>3</v>
      </c>
    </row>
    <row r="126" spans="1:14" x14ac:dyDescent="0.2">
      <c r="A126" s="1">
        <v>45028</v>
      </c>
      <c r="B126">
        <v>3</v>
      </c>
      <c r="C126" t="s">
        <v>13</v>
      </c>
      <c r="D126" s="2">
        <v>0.45694444444444443</v>
      </c>
      <c r="E126">
        <v>12920.64</v>
      </c>
      <c r="F126" s="2">
        <v>0.45902777777777776</v>
      </c>
      <c r="G126">
        <v>12898.03</v>
      </c>
      <c r="H126">
        <v>12929.69</v>
      </c>
      <c r="I126">
        <v>12898.03</v>
      </c>
      <c r="J126" t="s">
        <v>14</v>
      </c>
      <c r="K126">
        <v>22.61</v>
      </c>
      <c r="L126" s="9">
        <v>2.5</v>
      </c>
      <c r="M126">
        <v>1</v>
      </c>
      <c r="N126">
        <v>0</v>
      </c>
    </row>
    <row r="127" spans="1:14" x14ac:dyDescent="0.2">
      <c r="A127" s="1">
        <v>45029</v>
      </c>
      <c r="B127">
        <v>4</v>
      </c>
      <c r="C127" t="s">
        <v>16</v>
      </c>
      <c r="D127" s="2">
        <v>0.40138888888888891</v>
      </c>
      <c r="E127">
        <v>12946.27</v>
      </c>
      <c r="F127" s="2">
        <v>0.40208333333333335</v>
      </c>
      <c r="G127">
        <v>12968.93</v>
      </c>
      <c r="H127">
        <v>12937.21</v>
      </c>
      <c r="I127">
        <v>12968.93</v>
      </c>
      <c r="J127" t="s">
        <v>14</v>
      </c>
      <c r="K127">
        <v>22.66</v>
      </c>
      <c r="L127" s="9">
        <v>2.5</v>
      </c>
      <c r="M127">
        <v>1</v>
      </c>
      <c r="N127">
        <v>2</v>
      </c>
    </row>
    <row r="128" spans="1:14" x14ac:dyDescent="0.2">
      <c r="A128" s="1">
        <v>45030</v>
      </c>
      <c r="B128">
        <v>5</v>
      </c>
      <c r="C128" t="s">
        <v>16</v>
      </c>
      <c r="D128" s="2">
        <v>0.3972222222222222</v>
      </c>
      <c r="E128">
        <v>13039.1</v>
      </c>
      <c r="F128" s="2">
        <v>0.4</v>
      </c>
      <c r="G128">
        <v>13061.91</v>
      </c>
      <c r="H128">
        <v>13029.97</v>
      </c>
      <c r="I128">
        <v>13061.91</v>
      </c>
      <c r="J128" t="s">
        <v>14</v>
      </c>
      <c r="K128">
        <v>22.82</v>
      </c>
      <c r="L128" s="9">
        <v>2.5</v>
      </c>
      <c r="M128">
        <v>1</v>
      </c>
      <c r="N128">
        <v>3</v>
      </c>
    </row>
    <row r="129" spans="1:14" x14ac:dyDescent="0.2">
      <c r="A129" s="1">
        <v>45030</v>
      </c>
      <c r="B129">
        <v>5</v>
      </c>
      <c r="C129" t="s">
        <v>13</v>
      </c>
      <c r="D129" s="2">
        <v>0.43472222222222223</v>
      </c>
      <c r="E129">
        <v>13044.36</v>
      </c>
      <c r="F129" s="2">
        <v>0.44583333333333336</v>
      </c>
      <c r="G129">
        <v>13021.53</v>
      </c>
      <c r="H129">
        <v>13053.49</v>
      </c>
      <c r="I129">
        <v>13021.53</v>
      </c>
      <c r="J129" t="s">
        <v>14</v>
      </c>
      <c r="K129">
        <v>22.83</v>
      </c>
      <c r="L129" s="9">
        <v>2.5</v>
      </c>
      <c r="M129">
        <v>1</v>
      </c>
      <c r="N129">
        <v>4</v>
      </c>
    </row>
    <row r="130" spans="1:14" x14ac:dyDescent="0.2">
      <c r="A130" s="1">
        <v>45033</v>
      </c>
      <c r="B130">
        <v>1</v>
      </c>
      <c r="C130" t="s">
        <v>13</v>
      </c>
      <c r="D130" s="2">
        <v>0.39583333333333331</v>
      </c>
      <c r="E130">
        <v>13061.94</v>
      </c>
      <c r="F130" s="2">
        <v>0.39791666666666664</v>
      </c>
      <c r="G130">
        <v>13071.08</v>
      </c>
      <c r="H130">
        <v>13071.08</v>
      </c>
      <c r="I130">
        <v>13039.08</v>
      </c>
      <c r="J130" t="s">
        <v>15</v>
      </c>
      <c r="K130">
        <v>-9.14</v>
      </c>
      <c r="L130" s="9">
        <v>-1</v>
      </c>
      <c r="M130">
        <v>0</v>
      </c>
      <c r="N130">
        <v>0</v>
      </c>
    </row>
    <row r="131" spans="1:14" x14ac:dyDescent="0.2">
      <c r="A131" s="1">
        <v>45033</v>
      </c>
      <c r="B131">
        <v>1</v>
      </c>
      <c r="C131" t="s">
        <v>13</v>
      </c>
      <c r="D131" s="2">
        <v>0.44722222222222224</v>
      </c>
      <c r="E131">
        <v>13020.75</v>
      </c>
      <c r="F131" s="2">
        <v>0.45</v>
      </c>
      <c r="G131">
        <v>13029.86</v>
      </c>
      <c r="H131">
        <v>13029.86</v>
      </c>
      <c r="I131">
        <v>12997.96</v>
      </c>
      <c r="J131" t="s">
        <v>15</v>
      </c>
      <c r="K131">
        <v>-9.11</v>
      </c>
      <c r="L131" s="9">
        <v>-1</v>
      </c>
      <c r="M131">
        <v>0</v>
      </c>
      <c r="N131">
        <v>2</v>
      </c>
    </row>
    <row r="132" spans="1:14" x14ac:dyDescent="0.2">
      <c r="A132" s="1">
        <v>45034</v>
      </c>
      <c r="B132">
        <v>2</v>
      </c>
      <c r="C132" t="s">
        <v>13</v>
      </c>
      <c r="D132" s="2">
        <v>0.39930555555555558</v>
      </c>
      <c r="E132">
        <v>13168.07</v>
      </c>
      <c r="F132" s="2">
        <v>0.4</v>
      </c>
      <c r="G132">
        <v>13177.28</v>
      </c>
      <c r="H132">
        <v>13177.28</v>
      </c>
      <c r="I132">
        <v>13145.02</v>
      </c>
      <c r="J132" t="s">
        <v>15</v>
      </c>
      <c r="K132">
        <v>-9.2200000000000006</v>
      </c>
      <c r="L132" s="9">
        <v>-1</v>
      </c>
      <c r="M132">
        <v>0</v>
      </c>
      <c r="N132">
        <v>3</v>
      </c>
    </row>
    <row r="133" spans="1:14" x14ac:dyDescent="0.2">
      <c r="A133" s="1">
        <v>45034</v>
      </c>
      <c r="B133">
        <v>2</v>
      </c>
      <c r="C133" t="s">
        <v>13</v>
      </c>
      <c r="D133" s="2">
        <v>0.42152777777777778</v>
      </c>
      <c r="E133">
        <v>13118.19</v>
      </c>
      <c r="F133" s="2">
        <v>0.43402777777777779</v>
      </c>
      <c r="G133">
        <v>13095.23</v>
      </c>
      <c r="H133">
        <v>13127.37</v>
      </c>
      <c r="I133">
        <v>13095.23</v>
      </c>
      <c r="J133" t="s">
        <v>14</v>
      </c>
      <c r="K133">
        <v>22.96</v>
      </c>
      <c r="L133" s="9">
        <v>2.5</v>
      </c>
      <c r="M133">
        <v>1</v>
      </c>
      <c r="N133">
        <v>0</v>
      </c>
    </row>
    <row r="134" spans="1:14" x14ac:dyDescent="0.2">
      <c r="A134" s="1">
        <v>45035</v>
      </c>
      <c r="B134">
        <v>3</v>
      </c>
      <c r="C134" t="s">
        <v>16</v>
      </c>
      <c r="D134" s="2">
        <v>0.40069444444444446</v>
      </c>
      <c r="E134">
        <v>13017.69</v>
      </c>
      <c r="F134" s="2">
        <v>0.40277777777777779</v>
      </c>
      <c r="G134">
        <v>13008.58</v>
      </c>
      <c r="H134">
        <v>13008.58</v>
      </c>
      <c r="I134">
        <v>13040.47</v>
      </c>
      <c r="J134" t="s">
        <v>15</v>
      </c>
      <c r="K134">
        <v>-9.11</v>
      </c>
      <c r="L134" s="9">
        <v>-1</v>
      </c>
      <c r="M134">
        <v>0</v>
      </c>
      <c r="N134">
        <v>0</v>
      </c>
    </row>
    <row r="135" spans="1:14" x14ac:dyDescent="0.2">
      <c r="A135" s="1">
        <v>45035</v>
      </c>
      <c r="B135">
        <v>3</v>
      </c>
      <c r="C135" t="s">
        <v>16</v>
      </c>
      <c r="D135" s="2">
        <v>0.44583333333333336</v>
      </c>
      <c r="E135">
        <v>13034.07</v>
      </c>
      <c r="F135" s="2">
        <v>0.45902777777777776</v>
      </c>
      <c r="G135">
        <v>13056.88</v>
      </c>
      <c r="H135">
        <v>13024.95</v>
      </c>
      <c r="I135">
        <v>13056.88</v>
      </c>
      <c r="J135" t="s">
        <v>14</v>
      </c>
      <c r="K135">
        <v>22.81</v>
      </c>
      <c r="L135" s="9">
        <v>2.5</v>
      </c>
      <c r="M135">
        <v>1</v>
      </c>
      <c r="N135">
        <v>0</v>
      </c>
    </row>
    <row r="136" spans="1:14" x14ac:dyDescent="0.2">
      <c r="A136" s="1">
        <v>45036</v>
      </c>
      <c r="B136">
        <v>4</v>
      </c>
      <c r="C136" t="s">
        <v>16</v>
      </c>
      <c r="D136" s="2">
        <v>0.40486111111111112</v>
      </c>
      <c r="E136">
        <v>12996.99</v>
      </c>
      <c r="F136" s="2">
        <v>0.40694444444444444</v>
      </c>
      <c r="G136">
        <v>13019.74</v>
      </c>
      <c r="H136">
        <v>12987.9</v>
      </c>
      <c r="I136">
        <v>13019.74</v>
      </c>
      <c r="J136" t="s">
        <v>14</v>
      </c>
      <c r="K136">
        <v>22.74</v>
      </c>
      <c r="L136" s="9">
        <v>2.5</v>
      </c>
      <c r="M136">
        <v>1</v>
      </c>
      <c r="N136">
        <v>2</v>
      </c>
    </row>
    <row r="137" spans="1:14" x14ac:dyDescent="0.2">
      <c r="A137" s="1">
        <v>45040</v>
      </c>
      <c r="B137">
        <v>1</v>
      </c>
      <c r="C137" t="s">
        <v>13</v>
      </c>
      <c r="D137" s="2">
        <v>0.39583333333333331</v>
      </c>
      <c r="E137">
        <v>12987.01</v>
      </c>
      <c r="F137" s="2">
        <v>0.39791666666666664</v>
      </c>
      <c r="G137">
        <v>12996.1</v>
      </c>
      <c r="H137">
        <v>12996.1</v>
      </c>
      <c r="I137">
        <v>12964.28</v>
      </c>
      <c r="J137" t="s">
        <v>15</v>
      </c>
      <c r="K137">
        <v>-9.09</v>
      </c>
      <c r="L137" s="9">
        <v>-1</v>
      </c>
      <c r="M137">
        <v>0</v>
      </c>
      <c r="N137">
        <v>0</v>
      </c>
    </row>
    <row r="138" spans="1:14" x14ac:dyDescent="0.2">
      <c r="A138" s="1">
        <v>45040</v>
      </c>
      <c r="B138">
        <v>1</v>
      </c>
      <c r="C138" t="s">
        <v>16</v>
      </c>
      <c r="D138" s="2">
        <v>0.40486111111111112</v>
      </c>
      <c r="E138">
        <v>13034.53</v>
      </c>
      <c r="F138" s="2">
        <v>0.40972222222222221</v>
      </c>
      <c r="G138">
        <v>13025.4</v>
      </c>
      <c r="H138">
        <v>13025.4</v>
      </c>
      <c r="I138">
        <v>13057.34</v>
      </c>
      <c r="J138" t="s">
        <v>15</v>
      </c>
      <c r="K138">
        <v>-9.1199999999999992</v>
      </c>
      <c r="L138" s="9">
        <v>-1</v>
      </c>
      <c r="M138">
        <v>0</v>
      </c>
      <c r="N138">
        <v>2</v>
      </c>
    </row>
    <row r="139" spans="1:14" x14ac:dyDescent="0.2">
      <c r="A139" s="1">
        <v>45040</v>
      </c>
      <c r="B139">
        <v>1</v>
      </c>
      <c r="C139" t="s">
        <v>13</v>
      </c>
      <c r="D139" s="2">
        <v>0.42222222222222222</v>
      </c>
      <c r="E139">
        <v>12991.34</v>
      </c>
      <c r="F139" s="2">
        <v>0.42569444444444443</v>
      </c>
      <c r="G139">
        <v>13000.44</v>
      </c>
      <c r="H139">
        <v>13000.44</v>
      </c>
      <c r="I139">
        <v>12968.61</v>
      </c>
      <c r="J139" t="s">
        <v>15</v>
      </c>
      <c r="K139">
        <v>-9.09</v>
      </c>
      <c r="L139" s="9">
        <v>-1</v>
      </c>
      <c r="M139">
        <v>0</v>
      </c>
      <c r="N139">
        <v>3</v>
      </c>
    </row>
    <row r="140" spans="1:14" x14ac:dyDescent="0.2">
      <c r="A140" s="1">
        <v>45042</v>
      </c>
      <c r="B140">
        <v>3</v>
      </c>
      <c r="C140" t="s">
        <v>13</v>
      </c>
      <c r="D140" s="2">
        <v>0.39930555555555558</v>
      </c>
      <c r="E140">
        <v>12840.3</v>
      </c>
      <c r="F140" s="2">
        <v>0.4</v>
      </c>
      <c r="G140">
        <v>12849.28</v>
      </c>
      <c r="H140">
        <v>12849.28</v>
      </c>
      <c r="I140">
        <v>12817.82</v>
      </c>
      <c r="J140" t="s">
        <v>15</v>
      </c>
      <c r="K140">
        <v>-8.99</v>
      </c>
      <c r="L140" s="9">
        <v>-1</v>
      </c>
      <c r="M140">
        <v>0</v>
      </c>
      <c r="N140">
        <v>4</v>
      </c>
    </row>
    <row r="141" spans="1:14" x14ac:dyDescent="0.2">
      <c r="A141" s="1">
        <v>45042</v>
      </c>
      <c r="B141">
        <v>3</v>
      </c>
      <c r="C141" t="s">
        <v>13</v>
      </c>
      <c r="D141" s="2">
        <v>0.43333333333333335</v>
      </c>
      <c r="E141">
        <v>12822.47</v>
      </c>
      <c r="F141" s="2">
        <v>0.43680555555555556</v>
      </c>
      <c r="G141">
        <v>12831.45</v>
      </c>
      <c r="H141">
        <v>12831.45</v>
      </c>
      <c r="I141">
        <v>12800.03</v>
      </c>
      <c r="J141" t="s">
        <v>15</v>
      </c>
      <c r="K141">
        <v>-8.98</v>
      </c>
      <c r="L141" s="9">
        <v>-1</v>
      </c>
      <c r="M141">
        <v>0</v>
      </c>
      <c r="N141">
        <v>5</v>
      </c>
    </row>
    <row r="142" spans="1:14" x14ac:dyDescent="0.2">
      <c r="A142" s="1">
        <v>45043</v>
      </c>
      <c r="B142">
        <v>4</v>
      </c>
      <c r="C142" t="s">
        <v>16</v>
      </c>
      <c r="D142" s="2">
        <v>0.42569444444444443</v>
      </c>
      <c r="E142">
        <v>12976.08</v>
      </c>
      <c r="F142" s="2">
        <v>0.42638888888888887</v>
      </c>
      <c r="G142">
        <v>12998.79</v>
      </c>
      <c r="H142">
        <v>12967</v>
      </c>
      <c r="I142">
        <v>12998.79</v>
      </c>
      <c r="J142" t="s">
        <v>14</v>
      </c>
      <c r="K142">
        <v>22.71</v>
      </c>
      <c r="L142" s="9">
        <v>2.5</v>
      </c>
      <c r="M142">
        <v>1</v>
      </c>
      <c r="N142">
        <v>0</v>
      </c>
    </row>
    <row r="143" spans="1:14" x14ac:dyDescent="0.2">
      <c r="A143" s="1">
        <v>45044</v>
      </c>
      <c r="B143">
        <v>5</v>
      </c>
      <c r="C143" t="s">
        <v>13</v>
      </c>
      <c r="D143" s="2">
        <v>0.40625</v>
      </c>
      <c r="E143">
        <v>13110.22</v>
      </c>
      <c r="F143" s="2">
        <v>0.40694444444444444</v>
      </c>
      <c r="G143">
        <v>13119.4</v>
      </c>
      <c r="H143">
        <v>13119.4</v>
      </c>
      <c r="I143">
        <v>13087.28</v>
      </c>
      <c r="J143" t="s">
        <v>15</v>
      </c>
      <c r="K143">
        <v>-9.18</v>
      </c>
      <c r="L143" s="9">
        <v>-1</v>
      </c>
      <c r="M143">
        <v>0</v>
      </c>
      <c r="N143">
        <v>0</v>
      </c>
    </row>
    <row r="144" spans="1:14" x14ac:dyDescent="0.2">
      <c r="A144" s="1">
        <v>45044</v>
      </c>
      <c r="B144">
        <v>5</v>
      </c>
      <c r="C144" t="s">
        <v>16</v>
      </c>
      <c r="D144" s="2">
        <v>0.42986111111111114</v>
      </c>
      <c r="E144">
        <v>13190.16</v>
      </c>
      <c r="F144" s="2">
        <v>0.43472222222222223</v>
      </c>
      <c r="G144">
        <v>13213.25</v>
      </c>
      <c r="H144">
        <v>13180.93</v>
      </c>
      <c r="I144">
        <v>13213.25</v>
      </c>
      <c r="J144" t="s">
        <v>14</v>
      </c>
      <c r="K144">
        <v>23.08</v>
      </c>
      <c r="L144" s="9">
        <v>2.5</v>
      </c>
      <c r="M144">
        <v>1</v>
      </c>
      <c r="N144">
        <v>0</v>
      </c>
    </row>
    <row r="145" spans="1:14" x14ac:dyDescent="0.2">
      <c r="A145" s="1">
        <v>45048</v>
      </c>
      <c r="B145">
        <v>2</v>
      </c>
      <c r="C145" t="s">
        <v>13</v>
      </c>
      <c r="D145" s="2">
        <v>0.40486111111111112</v>
      </c>
      <c r="E145">
        <v>13206.62</v>
      </c>
      <c r="F145" s="2">
        <v>0.40555555555555556</v>
      </c>
      <c r="G145">
        <v>13215.87</v>
      </c>
      <c r="H145">
        <v>13215.87</v>
      </c>
      <c r="I145">
        <v>13183.51</v>
      </c>
      <c r="J145" t="s">
        <v>15</v>
      </c>
      <c r="K145">
        <v>-9.24</v>
      </c>
      <c r="L145" s="9">
        <v>-1</v>
      </c>
      <c r="M145">
        <v>0</v>
      </c>
      <c r="N145">
        <v>0</v>
      </c>
    </row>
    <row r="146" spans="1:14" x14ac:dyDescent="0.2">
      <c r="A146" s="1">
        <v>45048</v>
      </c>
      <c r="B146">
        <v>2</v>
      </c>
      <c r="C146" t="s">
        <v>13</v>
      </c>
      <c r="D146" s="2">
        <v>0.4201388888888889</v>
      </c>
      <c r="E146">
        <v>13204.07</v>
      </c>
      <c r="F146" s="2">
        <v>0.4236111111111111</v>
      </c>
      <c r="G146">
        <v>13180.97</v>
      </c>
      <c r="H146">
        <v>13213.32</v>
      </c>
      <c r="I146">
        <v>13180.97</v>
      </c>
      <c r="J146" t="s">
        <v>14</v>
      </c>
      <c r="K146">
        <v>23.11</v>
      </c>
      <c r="L146" s="9">
        <v>2.5</v>
      </c>
      <c r="M146">
        <v>1</v>
      </c>
      <c r="N146">
        <v>0</v>
      </c>
    </row>
    <row r="147" spans="1:14" x14ac:dyDescent="0.2">
      <c r="A147" s="1">
        <v>45050</v>
      </c>
      <c r="B147">
        <v>4</v>
      </c>
      <c r="C147" t="s">
        <v>13</v>
      </c>
      <c r="D147" s="2">
        <v>0.40486111111111112</v>
      </c>
      <c r="E147">
        <v>12986.7</v>
      </c>
      <c r="F147" s="2">
        <v>0.40555555555555556</v>
      </c>
      <c r="G147">
        <v>12963.97</v>
      </c>
      <c r="H147">
        <v>12995.79</v>
      </c>
      <c r="I147">
        <v>12963.97</v>
      </c>
      <c r="J147" t="s">
        <v>14</v>
      </c>
      <c r="K147">
        <v>22.73</v>
      </c>
      <c r="L147" s="9">
        <v>2.5</v>
      </c>
      <c r="M147">
        <v>1</v>
      </c>
      <c r="N147">
        <v>2</v>
      </c>
    </row>
    <row r="148" spans="1:14" x14ac:dyDescent="0.2">
      <c r="A148" s="1">
        <v>45050</v>
      </c>
      <c r="B148">
        <v>4</v>
      </c>
      <c r="C148" t="s">
        <v>13</v>
      </c>
      <c r="D148" s="2">
        <v>0.43402777777777779</v>
      </c>
      <c r="E148">
        <v>12958.76</v>
      </c>
      <c r="F148" s="2">
        <v>0.44097222222222221</v>
      </c>
      <c r="G148">
        <v>12967.83</v>
      </c>
      <c r="H148">
        <v>12967.83</v>
      </c>
      <c r="I148">
        <v>12936.08</v>
      </c>
      <c r="J148" t="s">
        <v>15</v>
      </c>
      <c r="K148">
        <v>-9.07</v>
      </c>
      <c r="L148" s="9">
        <v>-1</v>
      </c>
      <c r="M148">
        <v>0</v>
      </c>
      <c r="N148">
        <v>0</v>
      </c>
    </row>
    <row r="149" spans="1:14" x14ac:dyDescent="0.2">
      <c r="A149" s="1">
        <v>45051</v>
      </c>
      <c r="B149">
        <v>5</v>
      </c>
      <c r="C149" t="s">
        <v>16</v>
      </c>
      <c r="D149" s="2">
        <v>0.39583333333333331</v>
      </c>
      <c r="E149">
        <v>13068.18</v>
      </c>
      <c r="F149" s="2">
        <v>0.39652777777777776</v>
      </c>
      <c r="G149">
        <v>13059.03</v>
      </c>
      <c r="H149">
        <v>13059.03</v>
      </c>
      <c r="I149">
        <v>13091.05</v>
      </c>
      <c r="J149" t="s">
        <v>15</v>
      </c>
      <c r="K149">
        <v>-9.15</v>
      </c>
      <c r="L149" s="9">
        <v>-1</v>
      </c>
      <c r="M149">
        <v>0</v>
      </c>
      <c r="N149">
        <v>2</v>
      </c>
    </row>
    <row r="150" spans="1:14" x14ac:dyDescent="0.2">
      <c r="A150" s="1">
        <v>45054</v>
      </c>
      <c r="B150">
        <v>1</v>
      </c>
      <c r="C150" t="s">
        <v>13</v>
      </c>
      <c r="D150" s="2">
        <v>0.40625</v>
      </c>
      <c r="E150">
        <v>13212.69</v>
      </c>
      <c r="F150" s="2">
        <v>0.41805555555555557</v>
      </c>
      <c r="G150">
        <v>13221.94</v>
      </c>
      <c r="H150">
        <v>13221.94</v>
      </c>
      <c r="I150">
        <v>13189.57</v>
      </c>
      <c r="J150" t="s">
        <v>15</v>
      </c>
      <c r="K150">
        <v>-9.25</v>
      </c>
      <c r="L150" s="9">
        <v>-1</v>
      </c>
      <c r="M150">
        <v>0</v>
      </c>
      <c r="N150">
        <v>3</v>
      </c>
    </row>
    <row r="151" spans="1:14" x14ac:dyDescent="0.2">
      <c r="A151" s="1">
        <v>45054</v>
      </c>
      <c r="B151">
        <v>1</v>
      </c>
      <c r="C151" t="s">
        <v>16</v>
      </c>
      <c r="D151" s="2">
        <v>0.45347222222222222</v>
      </c>
      <c r="E151">
        <v>13225</v>
      </c>
      <c r="F151" s="2">
        <v>0.49027777777777776</v>
      </c>
      <c r="G151">
        <v>13248.15</v>
      </c>
      <c r="H151">
        <v>13215.75</v>
      </c>
      <c r="I151">
        <v>13248.15</v>
      </c>
      <c r="J151" t="s">
        <v>14</v>
      </c>
      <c r="K151">
        <v>23.14</v>
      </c>
      <c r="L151" s="9">
        <v>2.5</v>
      </c>
      <c r="M151">
        <v>1</v>
      </c>
      <c r="N151">
        <v>0</v>
      </c>
    </row>
    <row r="152" spans="1:14" x14ac:dyDescent="0.2">
      <c r="A152" s="1">
        <v>45055</v>
      </c>
      <c r="B152">
        <v>2</v>
      </c>
      <c r="C152" t="s">
        <v>16</v>
      </c>
      <c r="D152" s="2">
        <v>0.40694444444444444</v>
      </c>
      <c r="E152">
        <v>13224.59</v>
      </c>
      <c r="F152" s="2">
        <v>0.41180555555555554</v>
      </c>
      <c r="G152">
        <v>13215.33</v>
      </c>
      <c r="H152">
        <v>13215.33</v>
      </c>
      <c r="I152">
        <v>13247.73</v>
      </c>
      <c r="J152" t="s">
        <v>15</v>
      </c>
      <c r="K152">
        <v>-9.26</v>
      </c>
      <c r="L152" s="9">
        <v>-1</v>
      </c>
      <c r="M152">
        <v>0</v>
      </c>
      <c r="N152">
        <v>0</v>
      </c>
    </row>
    <row r="153" spans="1:14" x14ac:dyDescent="0.2">
      <c r="A153" s="1">
        <v>45055</v>
      </c>
      <c r="B153">
        <v>2</v>
      </c>
      <c r="C153" t="s">
        <v>16</v>
      </c>
      <c r="D153" s="2">
        <v>0.41805555555555557</v>
      </c>
      <c r="E153">
        <v>13243.5</v>
      </c>
      <c r="F153" s="2">
        <v>0.42152777777777778</v>
      </c>
      <c r="G153">
        <v>13234.23</v>
      </c>
      <c r="H153">
        <v>13234.23</v>
      </c>
      <c r="I153">
        <v>13266.67</v>
      </c>
      <c r="J153" t="s">
        <v>15</v>
      </c>
      <c r="K153">
        <v>-9.27</v>
      </c>
      <c r="L153" s="9">
        <v>-1</v>
      </c>
      <c r="M153">
        <v>0</v>
      </c>
      <c r="N153">
        <v>2</v>
      </c>
    </row>
    <row r="154" spans="1:14" x14ac:dyDescent="0.2">
      <c r="A154" s="1">
        <v>45056</v>
      </c>
      <c r="B154">
        <v>3</v>
      </c>
      <c r="C154" t="s">
        <v>16</v>
      </c>
      <c r="D154" s="2">
        <v>0.42291666666666666</v>
      </c>
      <c r="E154">
        <v>13356.95</v>
      </c>
      <c r="F154" s="2">
        <v>0.42916666666666664</v>
      </c>
      <c r="G154">
        <v>13347.6</v>
      </c>
      <c r="H154">
        <v>13347.6</v>
      </c>
      <c r="I154">
        <v>13380.32</v>
      </c>
      <c r="J154" t="s">
        <v>15</v>
      </c>
      <c r="K154">
        <v>-9.35</v>
      </c>
      <c r="L154" s="9">
        <v>-1</v>
      </c>
      <c r="M154">
        <v>0</v>
      </c>
      <c r="N154">
        <v>3</v>
      </c>
    </row>
    <row r="155" spans="1:14" x14ac:dyDescent="0.2">
      <c r="A155" s="1">
        <v>45056</v>
      </c>
      <c r="B155">
        <v>3</v>
      </c>
      <c r="C155" t="s">
        <v>13</v>
      </c>
      <c r="D155" s="2">
        <v>0.45</v>
      </c>
      <c r="E155">
        <v>13279.46</v>
      </c>
      <c r="F155" s="2">
        <v>0.45277777777777778</v>
      </c>
      <c r="G155">
        <v>13256.22</v>
      </c>
      <c r="H155">
        <v>13288.76</v>
      </c>
      <c r="I155">
        <v>13256.22</v>
      </c>
      <c r="J155" t="s">
        <v>14</v>
      </c>
      <c r="K155">
        <v>23.24</v>
      </c>
      <c r="L155" s="9">
        <v>2.5</v>
      </c>
      <c r="M155">
        <v>1</v>
      </c>
      <c r="N155">
        <v>0</v>
      </c>
    </row>
    <row r="156" spans="1:14" x14ac:dyDescent="0.2">
      <c r="A156" s="1">
        <v>45057</v>
      </c>
      <c r="B156">
        <v>4</v>
      </c>
      <c r="C156" t="s">
        <v>13</v>
      </c>
      <c r="D156" s="2">
        <v>0.44583333333333336</v>
      </c>
      <c r="E156">
        <v>13307.54</v>
      </c>
      <c r="F156" s="2">
        <v>0.44791666666666669</v>
      </c>
      <c r="G156">
        <v>13316.86</v>
      </c>
      <c r="H156">
        <v>13316.86</v>
      </c>
      <c r="I156">
        <v>13284.25</v>
      </c>
      <c r="J156" t="s">
        <v>15</v>
      </c>
      <c r="K156">
        <v>-9.32</v>
      </c>
      <c r="L156" s="9">
        <v>-1</v>
      </c>
      <c r="M156">
        <v>0</v>
      </c>
      <c r="N156">
        <v>0</v>
      </c>
    </row>
    <row r="157" spans="1:14" x14ac:dyDescent="0.2">
      <c r="A157" s="1">
        <v>45057</v>
      </c>
      <c r="B157">
        <v>4</v>
      </c>
      <c r="C157" t="s">
        <v>16</v>
      </c>
      <c r="D157" s="2">
        <v>0.45624999999999999</v>
      </c>
      <c r="E157">
        <v>13343.68</v>
      </c>
      <c r="F157" s="2">
        <v>0.46111111111111114</v>
      </c>
      <c r="G157">
        <v>13367.04</v>
      </c>
      <c r="H157">
        <v>13334.34</v>
      </c>
      <c r="I157">
        <v>13367.04</v>
      </c>
      <c r="J157" t="s">
        <v>14</v>
      </c>
      <c r="K157">
        <v>23.35</v>
      </c>
      <c r="L157" s="9">
        <v>2.5</v>
      </c>
      <c r="M157">
        <v>1</v>
      </c>
      <c r="N157">
        <v>0</v>
      </c>
    </row>
    <row r="158" spans="1:14" x14ac:dyDescent="0.2">
      <c r="A158" s="1">
        <v>45058</v>
      </c>
      <c r="B158">
        <v>5</v>
      </c>
      <c r="C158" t="s">
        <v>13</v>
      </c>
      <c r="D158" s="2">
        <v>0.42222222222222222</v>
      </c>
      <c r="E158">
        <v>13354.62</v>
      </c>
      <c r="F158" s="2">
        <v>0.42430555555555555</v>
      </c>
      <c r="G158">
        <v>13363.97</v>
      </c>
      <c r="H158">
        <v>13363.97</v>
      </c>
      <c r="I158">
        <v>13331.25</v>
      </c>
      <c r="J158" t="s">
        <v>15</v>
      </c>
      <c r="K158">
        <v>-9.35</v>
      </c>
      <c r="L158" s="9">
        <v>-1</v>
      </c>
      <c r="M158">
        <v>0</v>
      </c>
      <c r="N158">
        <v>0</v>
      </c>
    </row>
    <row r="159" spans="1:14" x14ac:dyDescent="0.2">
      <c r="A159" s="1">
        <v>45058</v>
      </c>
      <c r="B159">
        <v>5</v>
      </c>
      <c r="C159" t="s">
        <v>13</v>
      </c>
      <c r="D159" s="2">
        <v>0.44236111111111109</v>
      </c>
      <c r="E159">
        <v>13333.33</v>
      </c>
      <c r="F159" s="2">
        <v>0.44374999999999998</v>
      </c>
      <c r="G159">
        <v>13342.66</v>
      </c>
      <c r="H159">
        <v>13342.66</v>
      </c>
      <c r="I159">
        <v>13309.99</v>
      </c>
      <c r="J159" t="s">
        <v>15</v>
      </c>
      <c r="K159">
        <v>-9.33</v>
      </c>
      <c r="L159" s="9">
        <v>-1</v>
      </c>
      <c r="M159">
        <v>0</v>
      </c>
      <c r="N159">
        <v>2</v>
      </c>
    </row>
    <row r="160" spans="1:14" x14ac:dyDescent="0.2">
      <c r="A160" s="1">
        <v>45061</v>
      </c>
      <c r="B160">
        <v>1</v>
      </c>
      <c r="C160" t="s">
        <v>13</v>
      </c>
      <c r="D160" s="2">
        <v>0.39652777777777776</v>
      </c>
      <c r="E160">
        <v>13353.14</v>
      </c>
      <c r="F160" s="2">
        <v>0.40625</v>
      </c>
      <c r="G160">
        <v>13362.49</v>
      </c>
      <c r="H160">
        <v>13362.49</v>
      </c>
      <c r="I160">
        <v>13329.77</v>
      </c>
      <c r="J160" t="s">
        <v>15</v>
      </c>
      <c r="K160">
        <v>-9.35</v>
      </c>
      <c r="L160" s="9">
        <v>-1</v>
      </c>
      <c r="M160">
        <v>0</v>
      </c>
      <c r="N160">
        <v>3</v>
      </c>
    </row>
    <row r="161" spans="1:14" x14ac:dyDescent="0.2">
      <c r="A161" s="1">
        <v>45061</v>
      </c>
      <c r="B161">
        <v>1</v>
      </c>
      <c r="C161" t="s">
        <v>13</v>
      </c>
      <c r="D161" s="2">
        <v>0.41319444444444442</v>
      </c>
      <c r="E161">
        <v>13331.8</v>
      </c>
      <c r="F161" s="2">
        <v>0.42152777777777778</v>
      </c>
      <c r="G161">
        <v>13308.47</v>
      </c>
      <c r="H161">
        <v>13341.13</v>
      </c>
      <c r="I161">
        <v>13308.47</v>
      </c>
      <c r="J161" t="s">
        <v>14</v>
      </c>
      <c r="K161">
        <v>23.33</v>
      </c>
      <c r="L161" s="9">
        <v>2.5</v>
      </c>
      <c r="M161">
        <v>1</v>
      </c>
      <c r="N161">
        <v>0</v>
      </c>
    </row>
    <row r="162" spans="1:14" x14ac:dyDescent="0.2">
      <c r="A162" s="1">
        <v>45061</v>
      </c>
      <c r="B162">
        <v>1</v>
      </c>
      <c r="C162" t="s">
        <v>16</v>
      </c>
      <c r="D162" s="2">
        <v>0.44374999999999998</v>
      </c>
      <c r="E162">
        <v>13333.04</v>
      </c>
      <c r="F162" s="2">
        <v>0.46736111111111112</v>
      </c>
      <c r="G162">
        <v>13356.38</v>
      </c>
      <c r="H162">
        <v>13323.71</v>
      </c>
      <c r="I162">
        <v>13356.38</v>
      </c>
      <c r="J162" t="s">
        <v>14</v>
      </c>
      <c r="K162">
        <v>23.33</v>
      </c>
      <c r="L162" s="9">
        <v>2.5</v>
      </c>
      <c r="M162">
        <v>1</v>
      </c>
      <c r="N162">
        <v>2</v>
      </c>
    </row>
    <row r="163" spans="1:14" x14ac:dyDescent="0.2">
      <c r="A163" s="1">
        <v>45062</v>
      </c>
      <c r="B163">
        <v>2</v>
      </c>
      <c r="C163" t="s">
        <v>16</v>
      </c>
      <c r="D163" s="2">
        <v>0.40069444444444446</v>
      </c>
      <c r="E163">
        <v>13411.21</v>
      </c>
      <c r="F163" s="2">
        <v>0.40486111111111112</v>
      </c>
      <c r="G163">
        <v>13434.68</v>
      </c>
      <c r="H163">
        <v>13401.83</v>
      </c>
      <c r="I163">
        <v>13434.68</v>
      </c>
      <c r="J163" t="s">
        <v>14</v>
      </c>
      <c r="K163">
        <v>23.47</v>
      </c>
      <c r="L163" s="9">
        <v>2.5</v>
      </c>
      <c r="M163">
        <v>1</v>
      </c>
      <c r="N163">
        <v>3</v>
      </c>
    </row>
    <row r="164" spans="1:14" x14ac:dyDescent="0.2">
      <c r="A164" s="1">
        <v>45062</v>
      </c>
      <c r="B164">
        <v>2</v>
      </c>
      <c r="C164" t="s">
        <v>16</v>
      </c>
      <c r="D164" s="2">
        <v>0.43819444444444444</v>
      </c>
      <c r="E164">
        <v>13444.96</v>
      </c>
      <c r="F164" s="2">
        <v>0.44166666666666665</v>
      </c>
      <c r="G164">
        <v>13435.55</v>
      </c>
      <c r="H164">
        <v>13435.55</v>
      </c>
      <c r="I164">
        <v>13468.49</v>
      </c>
      <c r="J164" t="s">
        <v>15</v>
      </c>
      <c r="K164">
        <v>-9.41</v>
      </c>
      <c r="L164" s="9">
        <v>-1</v>
      </c>
      <c r="M164">
        <v>0</v>
      </c>
      <c r="N164">
        <v>0</v>
      </c>
    </row>
    <row r="165" spans="1:14" x14ac:dyDescent="0.2">
      <c r="A165" s="1">
        <v>45062</v>
      </c>
      <c r="B165">
        <v>2</v>
      </c>
      <c r="C165" t="s">
        <v>16</v>
      </c>
      <c r="D165" s="2">
        <v>0.45763888888888887</v>
      </c>
      <c r="E165">
        <v>13464.19</v>
      </c>
      <c r="F165" s="2">
        <v>0.48333333333333334</v>
      </c>
      <c r="G165">
        <v>13454.76</v>
      </c>
      <c r="H165">
        <v>13454.76</v>
      </c>
      <c r="I165">
        <v>13487.75</v>
      </c>
      <c r="J165" t="s">
        <v>15</v>
      </c>
      <c r="K165">
        <v>-9.42</v>
      </c>
      <c r="L165" s="9">
        <v>-1</v>
      </c>
      <c r="M165">
        <v>0</v>
      </c>
      <c r="N165">
        <v>2</v>
      </c>
    </row>
    <row r="166" spans="1:14" x14ac:dyDescent="0.2">
      <c r="A166" s="1">
        <v>45063</v>
      </c>
      <c r="B166">
        <v>3</v>
      </c>
      <c r="C166" t="s">
        <v>16</v>
      </c>
      <c r="D166" s="2">
        <v>0.39791666666666664</v>
      </c>
      <c r="E166">
        <v>13468.97</v>
      </c>
      <c r="F166" s="2">
        <v>0.39930555555555558</v>
      </c>
      <c r="G166">
        <v>13459.54</v>
      </c>
      <c r="H166">
        <v>13459.54</v>
      </c>
      <c r="I166">
        <v>13492.54</v>
      </c>
      <c r="J166" t="s">
        <v>15</v>
      </c>
      <c r="K166">
        <v>-9.43</v>
      </c>
      <c r="L166" s="9">
        <v>-1</v>
      </c>
      <c r="M166">
        <v>0</v>
      </c>
      <c r="N166">
        <v>3</v>
      </c>
    </row>
    <row r="167" spans="1:14" x14ac:dyDescent="0.2">
      <c r="A167" s="1">
        <v>45063</v>
      </c>
      <c r="B167">
        <v>3</v>
      </c>
      <c r="C167" t="s">
        <v>13</v>
      </c>
      <c r="D167" s="2">
        <v>0.41319444444444442</v>
      </c>
      <c r="E167">
        <v>13433.03</v>
      </c>
      <c r="F167" s="2">
        <v>0.42430555555555555</v>
      </c>
      <c r="G167">
        <v>13442.43</v>
      </c>
      <c r="H167">
        <v>13442.43</v>
      </c>
      <c r="I167">
        <v>13409.52</v>
      </c>
      <c r="J167" t="s">
        <v>15</v>
      </c>
      <c r="K167">
        <v>-9.4</v>
      </c>
      <c r="L167" s="9">
        <v>-1</v>
      </c>
      <c r="M167">
        <v>0</v>
      </c>
      <c r="N167">
        <v>4</v>
      </c>
    </row>
    <row r="168" spans="1:14" x14ac:dyDescent="0.2">
      <c r="A168" s="1">
        <v>45063</v>
      </c>
      <c r="B168">
        <v>3</v>
      </c>
      <c r="C168" t="s">
        <v>16</v>
      </c>
      <c r="D168" s="2">
        <v>0.43194444444444446</v>
      </c>
      <c r="E168">
        <v>13454.11</v>
      </c>
      <c r="F168" s="2">
        <v>0.45694444444444443</v>
      </c>
      <c r="G168">
        <v>13477.65</v>
      </c>
      <c r="H168">
        <v>13444.69</v>
      </c>
      <c r="I168">
        <v>13477.65</v>
      </c>
      <c r="J168" t="s">
        <v>14</v>
      </c>
      <c r="K168">
        <v>23.54</v>
      </c>
      <c r="L168" s="9">
        <v>2.5</v>
      </c>
      <c r="M168">
        <v>1</v>
      </c>
      <c r="N168">
        <v>0</v>
      </c>
    </row>
    <row r="169" spans="1:14" x14ac:dyDescent="0.2">
      <c r="A169" s="1">
        <v>45064</v>
      </c>
      <c r="B169">
        <v>4</v>
      </c>
      <c r="C169" t="s">
        <v>16</v>
      </c>
      <c r="D169" s="2">
        <v>0.40486111111111112</v>
      </c>
      <c r="E169">
        <v>13639.57</v>
      </c>
      <c r="F169" s="2">
        <v>0.42083333333333334</v>
      </c>
      <c r="G169">
        <v>13663.43</v>
      </c>
      <c r="H169">
        <v>13630.02</v>
      </c>
      <c r="I169">
        <v>13663.43</v>
      </c>
      <c r="J169" t="s">
        <v>14</v>
      </c>
      <c r="K169">
        <v>23.87</v>
      </c>
      <c r="L169" s="9">
        <v>2.5</v>
      </c>
      <c r="M169">
        <v>1</v>
      </c>
      <c r="N169">
        <v>2</v>
      </c>
    </row>
    <row r="170" spans="1:14" x14ac:dyDescent="0.2">
      <c r="A170" s="1">
        <v>45065</v>
      </c>
      <c r="B170">
        <v>5</v>
      </c>
      <c r="C170" t="s">
        <v>13</v>
      </c>
      <c r="D170" s="2">
        <v>0.41388888888888886</v>
      </c>
      <c r="E170">
        <v>13830.23</v>
      </c>
      <c r="F170" s="2">
        <v>0.41597222222222224</v>
      </c>
      <c r="G170">
        <v>13839.91</v>
      </c>
      <c r="H170">
        <v>13839.91</v>
      </c>
      <c r="I170">
        <v>13806.02</v>
      </c>
      <c r="J170" t="s">
        <v>15</v>
      </c>
      <c r="K170">
        <v>-9.68</v>
      </c>
      <c r="L170" s="9">
        <v>-1</v>
      </c>
      <c r="M170">
        <v>0</v>
      </c>
      <c r="N170">
        <v>0</v>
      </c>
    </row>
    <row r="171" spans="1:14" x14ac:dyDescent="0.2">
      <c r="A171" s="1">
        <v>45065</v>
      </c>
      <c r="B171">
        <v>5</v>
      </c>
      <c r="C171" t="s">
        <v>16</v>
      </c>
      <c r="D171" s="2">
        <v>0.43402777777777779</v>
      </c>
      <c r="E171">
        <v>13852.35</v>
      </c>
      <c r="F171" s="2">
        <v>0.43680555555555556</v>
      </c>
      <c r="G171">
        <v>13842.65</v>
      </c>
      <c r="H171">
        <v>13842.65</v>
      </c>
      <c r="I171">
        <v>13876.59</v>
      </c>
      <c r="J171" t="s">
        <v>15</v>
      </c>
      <c r="K171">
        <v>-9.6999999999999993</v>
      </c>
      <c r="L171" s="9">
        <v>-1</v>
      </c>
      <c r="M171">
        <v>0</v>
      </c>
      <c r="N171">
        <v>2</v>
      </c>
    </row>
    <row r="172" spans="1:14" x14ac:dyDescent="0.2">
      <c r="A172" s="1">
        <v>45065</v>
      </c>
      <c r="B172">
        <v>5</v>
      </c>
      <c r="C172" t="s">
        <v>13</v>
      </c>
      <c r="D172" s="2">
        <v>0.44930555555555557</v>
      </c>
      <c r="E172">
        <v>13825.19</v>
      </c>
      <c r="F172" s="2">
        <v>0.46111111111111114</v>
      </c>
      <c r="G172">
        <v>13834.87</v>
      </c>
      <c r="H172">
        <v>13834.87</v>
      </c>
      <c r="I172">
        <v>13801</v>
      </c>
      <c r="J172" t="s">
        <v>15</v>
      </c>
      <c r="K172">
        <v>-9.68</v>
      </c>
      <c r="L172" s="9">
        <v>-1</v>
      </c>
      <c r="M172">
        <v>0</v>
      </c>
      <c r="N172">
        <v>3</v>
      </c>
    </row>
    <row r="173" spans="1:14" x14ac:dyDescent="0.2">
      <c r="A173" s="1">
        <v>45068</v>
      </c>
      <c r="B173">
        <v>1</v>
      </c>
      <c r="C173" t="s">
        <v>16</v>
      </c>
      <c r="D173" s="2">
        <v>0.40555555555555556</v>
      </c>
      <c r="E173">
        <v>13855.35</v>
      </c>
      <c r="F173" s="2">
        <v>0.40694444444444444</v>
      </c>
      <c r="G173">
        <v>13845.65</v>
      </c>
      <c r="H173">
        <v>13845.65</v>
      </c>
      <c r="I173">
        <v>13879.6</v>
      </c>
      <c r="J173" t="s">
        <v>15</v>
      </c>
      <c r="K173">
        <v>-9.6999999999999993</v>
      </c>
      <c r="L173" s="9">
        <v>-1</v>
      </c>
      <c r="M173">
        <v>0</v>
      </c>
      <c r="N173">
        <v>4</v>
      </c>
    </row>
    <row r="174" spans="1:14" x14ac:dyDescent="0.2">
      <c r="A174" s="1">
        <v>45068</v>
      </c>
      <c r="B174">
        <v>1</v>
      </c>
      <c r="C174" t="s">
        <v>13</v>
      </c>
      <c r="D174" s="2">
        <v>0.44930555555555557</v>
      </c>
      <c r="E174">
        <v>13840.37</v>
      </c>
      <c r="F174" s="2">
        <v>0.45694444444444443</v>
      </c>
      <c r="G174">
        <v>13850.06</v>
      </c>
      <c r="H174">
        <v>13850.06</v>
      </c>
      <c r="I174">
        <v>13816.15</v>
      </c>
      <c r="J174" t="s">
        <v>15</v>
      </c>
      <c r="K174">
        <v>-9.69</v>
      </c>
      <c r="L174" s="9">
        <v>-1</v>
      </c>
      <c r="M174">
        <v>0</v>
      </c>
      <c r="N174">
        <v>5</v>
      </c>
    </row>
    <row r="175" spans="1:14" x14ac:dyDescent="0.2">
      <c r="A175" s="1">
        <v>45070</v>
      </c>
      <c r="B175">
        <v>3</v>
      </c>
      <c r="C175" t="s">
        <v>13</v>
      </c>
      <c r="D175" s="2">
        <v>0.4236111111111111</v>
      </c>
      <c r="E175">
        <v>13562.9</v>
      </c>
      <c r="F175" s="2">
        <v>0.42777777777777776</v>
      </c>
      <c r="G175">
        <v>13572.39</v>
      </c>
      <c r="H175">
        <v>13572.39</v>
      </c>
      <c r="I175">
        <v>13539.17</v>
      </c>
      <c r="J175" t="s">
        <v>15</v>
      </c>
      <c r="K175">
        <v>-9.49</v>
      </c>
      <c r="L175" s="9">
        <v>-1</v>
      </c>
      <c r="M175">
        <v>0</v>
      </c>
      <c r="N175">
        <v>6</v>
      </c>
    </row>
    <row r="176" spans="1:14" x14ac:dyDescent="0.2">
      <c r="A176" s="1">
        <v>45070</v>
      </c>
      <c r="B176">
        <v>3</v>
      </c>
      <c r="C176" t="s">
        <v>13</v>
      </c>
      <c r="D176" s="2">
        <v>0.43680555555555556</v>
      </c>
      <c r="E176">
        <v>13549.06</v>
      </c>
      <c r="F176" s="2">
        <v>0.44097222222222221</v>
      </c>
      <c r="G176">
        <v>13558.54</v>
      </c>
      <c r="H176">
        <v>13558.54</v>
      </c>
      <c r="I176">
        <v>13525.35</v>
      </c>
      <c r="J176" t="s">
        <v>15</v>
      </c>
      <c r="K176">
        <v>-9.48</v>
      </c>
      <c r="L176" s="9">
        <v>-1</v>
      </c>
      <c r="M176">
        <v>0</v>
      </c>
      <c r="N176">
        <v>7</v>
      </c>
    </row>
    <row r="177" spans="1:14" x14ac:dyDescent="0.2">
      <c r="A177" s="1">
        <v>45071</v>
      </c>
      <c r="B177">
        <v>4</v>
      </c>
      <c r="C177" t="s">
        <v>13</v>
      </c>
      <c r="D177" s="2">
        <v>0.40277777777777779</v>
      </c>
      <c r="E177">
        <v>13831.71</v>
      </c>
      <c r="F177" s="2">
        <v>0.40347222222222223</v>
      </c>
      <c r="G177">
        <v>13841.39</v>
      </c>
      <c r="H177">
        <v>13841.39</v>
      </c>
      <c r="I177">
        <v>13807.51</v>
      </c>
      <c r="J177" t="s">
        <v>15</v>
      </c>
      <c r="K177">
        <v>-9.68</v>
      </c>
      <c r="L177" s="9">
        <v>-1</v>
      </c>
      <c r="M177">
        <v>0</v>
      </c>
      <c r="N177">
        <v>8</v>
      </c>
    </row>
    <row r="178" spans="1:14" x14ac:dyDescent="0.2">
      <c r="A178" s="1">
        <v>45071</v>
      </c>
      <c r="B178">
        <v>4</v>
      </c>
      <c r="C178" t="s">
        <v>16</v>
      </c>
      <c r="D178" s="2">
        <v>0.4465277777777778</v>
      </c>
      <c r="E178">
        <v>13868.25</v>
      </c>
      <c r="F178" s="2">
        <v>0.44930555555555557</v>
      </c>
      <c r="G178">
        <v>13892.52</v>
      </c>
      <c r="H178">
        <v>13858.54</v>
      </c>
      <c r="I178">
        <v>13892.52</v>
      </c>
      <c r="J178" t="s">
        <v>14</v>
      </c>
      <c r="K178">
        <v>24.27</v>
      </c>
      <c r="L178" s="9">
        <v>2.5</v>
      </c>
      <c r="M178">
        <v>1</v>
      </c>
      <c r="N178">
        <v>0</v>
      </c>
    </row>
    <row r="179" spans="1:14" x14ac:dyDescent="0.2">
      <c r="A179" s="1">
        <v>45072</v>
      </c>
      <c r="B179">
        <v>5</v>
      </c>
      <c r="C179" t="s">
        <v>16</v>
      </c>
      <c r="D179" s="2">
        <v>0.40694444444444444</v>
      </c>
      <c r="E179">
        <v>14039.73</v>
      </c>
      <c r="F179" s="2">
        <v>0.40972222222222221</v>
      </c>
      <c r="G179">
        <v>14064.3</v>
      </c>
      <c r="H179">
        <v>14029.9</v>
      </c>
      <c r="I179">
        <v>14064.3</v>
      </c>
      <c r="J179" t="s">
        <v>14</v>
      </c>
      <c r="K179">
        <v>24.57</v>
      </c>
      <c r="L179" s="9">
        <v>2.5</v>
      </c>
      <c r="M179">
        <v>1</v>
      </c>
      <c r="N179">
        <v>2</v>
      </c>
    </row>
    <row r="180" spans="1:14" x14ac:dyDescent="0.2">
      <c r="A180" s="1">
        <v>45075</v>
      </c>
      <c r="B180">
        <v>1</v>
      </c>
      <c r="C180" t="s">
        <v>13</v>
      </c>
      <c r="D180" s="2">
        <v>0.4</v>
      </c>
      <c r="E180">
        <v>14331.76</v>
      </c>
      <c r="F180" s="2">
        <v>0.43472222222222223</v>
      </c>
      <c r="G180">
        <v>14341.8</v>
      </c>
      <c r="H180">
        <v>14341.8</v>
      </c>
      <c r="I180">
        <v>14306.68</v>
      </c>
      <c r="J180" t="s">
        <v>15</v>
      </c>
      <c r="K180">
        <v>-10.029999999999999</v>
      </c>
      <c r="L180" s="9">
        <v>-1</v>
      </c>
      <c r="M180">
        <v>0</v>
      </c>
      <c r="N180">
        <v>0</v>
      </c>
    </row>
    <row r="181" spans="1:14" x14ac:dyDescent="0.2">
      <c r="A181" s="1">
        <v>45075</v>
      </c>
      <c r="B181">
        <v>1</v>
      </c>
      <c r="C181" t="s">
        <v>16</v>
      </c>
      <c r="D181" s="2">
        <v>0.43819444444444444</v>
      </c>
      <c r="E181">
        <v>14342.33</v>
      </c>
      <c r="F181" s="2">
        <v>0.54097222222222219</v>
      </c>
      <c r="G181">
        <v>14367.43</v>
      </c>
      <c r="H181">
        <v>14332.29</v>
      </c>
      <c r="I181">
        <v>14367.43</v>
      </c>
      <c r="J181" t="s">
        <v>14</v>
      </c>
      <c r="K181">
        <v>25.1</v>
      </c>
      <c r="L181" s="9">
        <v>2.5</v>
      </c>
      <c r="M181">
        <v>1</v>
      </c>
      <c r="N181">
        <v>0</v>
      </c>
    </row>
    <row r="182" spans="1:14" x14ac:dyDescent="0.2">
      <c r="A182" s="1">
        <v>45077</v>
      </c>
      <c r="B182">
        <v>3</v>
      </c>
      <c r="C182" t="s">
        <v>16</v>
      </c>
      <c r="D182" s="2">
        <v>0.40416666666666667</v>
      </c>
      <c r="E182">
        <v>14333.6</v>
      </c>
      <c r="F182" s="2">
        <v>0.40625</v>
      </c>
      <c r="G182">
        <v>14358.69</v>
      </c>
      <c r="H182">
        <v>14323.57</v>
      </c>
      <c r="I182">
        <v>14358.69</v>
      </c>
      <c r="J182" t="s">
        <v>14</v>
      </c>
      <c r="K182">
        <v>25.08</v>
      </c>
      <c r="L182" s="9">
        <v>2.5</v>
      </c>
      <c r="M182">
        <v>1</v>
      </c>
      <c r="N182">
        <v>2</v>
      </c>
    </row>
    <row r="183" spans="1:14" x14ac:dyDescent="0.2">
      <c r="A183" s="1">
        <v>45077</v>
      </c>
      <c r="B183">
        <v>3</v>
      </c>
      <c r="C183" t="s">
        <v>13</v>
      </c>
      <c r="D183" s="2">
        <v>0.42777777777777776</v>
      </c>
      <c r="E183">
        <v>14294.41</v>
      </c>
      <c r="F183" s="2">
        <v>0.42916666666666664</v>
      </c>
      <c r="G183">
        <v>14269.39</v>
      </c>
      <c r="H183">
        <v>14304.41</v>
      </c>
      <c r="I183">
        <v>14269.39</v>
      </c>
      <c r="J183" t="s">
        <v>14</v>
      </c>
      <c r="K183">
        <v>25.02</v>
      </c>
      <c r="L183" s="9">
        <v>2.5</v>
      </c>
      <c r="M183">
        <v>1</v>
      </c>
      <c r="N183">
        <v>3</v>
      </c>
    </row>
    <row r="184" spans="1:14" x14ac:dyDescent="0.2">
      <c r="A184" s="1">
        <v>45077</v>
      </c>
      <c r="B184">
        <v>3</v>
      </c>
      <c r="C184" t="s">
        <v>16</v>
      </c>
      <c r="D184" s="2">
        <v>0.45694444444444443</v>
      </c>
      <c r="E184">
        <v>14282.91</v>
      </c>
      <c r="F184" s="2">
        <v>0.45763888888888887</v>
      </c>
      <c r="G184">
        <v>14272.91</v>
      </c>
      <c r="H184">
        <v>14272.91</v>
      </c>
      <c r="I184">
        <v>14307.9</v>
      </c>
      <c r="J184" t="s">
        <v>15</v>
      </c>
      <c r="K184">
        <v>-10</v>
      </c>
      <c r="L184" s="9">
        <v>-1</v>
      </c>
      <c r="M184">
        <v>0</v>
      </c>
      <c r="N184">
        <v>0</v>
      </c>
    </row>
    <row r="185" spans="1:14" x14ac:dyDescent="0.2">
      <c r="A185" s="1">
        <v>45079</v>
      </c>
      <c r="B185">
        <v>5</v>
      </c>
      <c r="C185" t="s">
        <v>16</v>
      </c>
      <c r="D185" s="2">
        <v>0.39583333333333331</v>
      </c>
      <c r="E185">
        <v>14515.17</v>
      </c>
      <c r="F185" s="2">
        <v>0.39652777777777776</v>
      </c>
      <c r="G185">
        <v>14540.57</v>
      </c>
      <c r="H185">
        <v>14505.01</v>
      </c>
      <c r="I185">
        <v>14540.57</v>
      </c>
      <c r="J185" t="s">
        <v>14</v>
      </c>
      <c r="K185">
        <v>25.4</v>
      </c>
      <c r="L185" s="9">
        <v>2.5</v>
      </c>
      <c r="M185">
        <v>1</v>
      </c>
      <c r="N185">
        <v>0</v>
      </c>
    </row>
    <row r="186" spans="1:14" x14ac:dyDescent="0.2">
      <c r="A186" s="1">
        <v>45079</v>
      </c>
      <c r="B186">
        <v>5</v>
      </c>
      <c r="C186" t="s">
        <v>13</v>
      </c>
      <c r="D186" s="2">
        <v>0.41875000000000001</v>
      </c>
      <c r="E186">
        <v>14457.36</v>
      </c>
      <c r="F186" s="2">
        <v>0.41944444444444445</v>
      </c>
      <c r="G186">
        <v>14467.48</v>
      </c>
      <c r="H186">
        <v>14467.48</v>
      </c>
      <c r="I186">
        <v>14432.06</v>
      </c>
      <c r="J186" t="s">
        <v>15</v>
      </c>
      <c r="K186">
        <v>-10.119999999999999</v>
      </c>
      <c r="L186" s="9">
        <v>-1</v>
      </c>
      <c r="M186">
        <v>0</v>
      </c>
      <c r="N186">
        <v>0</v>
      </c>
    </row>
    <row r="187" spans="1:14" x14ac:dyDescent="0.2">
      <c r="A187" s="1">
        <v>45079</v>
      </c>
      <c r="B187">
        <v>5</v>
      </c>
      <c r="C187" t="s">
        <v>16</v>
      </c>
      <c r="D187" s="2">
        <v>0.44444444444444442</v>
      </c>
      <c r="E187">
        <v>14502.98</v>
      </c>
      <c r="F187" s="2">
        <v>0.4465277777777778</v>
      </c>
      <c r="G187">
        <v>14528.36</v>
      </c>
      <c r="H187">
        <v>14492.82</v>
      </c>
      <c r="I187">
        <v>14528.36</v>
      </c>
      <c r="J187" t="s">
        <v>14</v>
      </c>
      <c r="K187">
        <v>25.38</v>
      </c>
      <c r="L187" s="9">
        <v>2.5</v>
      </c>
      <c r="M187">
        <v>1</v>
      </c>
      <c r="N187">
        <v>0</v>
      </c>
    </row>
    <row r="188" spans="1:14" x14ac:dyDescent="0.2">
      <c r="A188" s="1">
        <v>45082</v>
      </c>
      <c r="B188">
        <v>1</v>
      </c>
      <c r="C188" t="s">
        <v>16</v>
      </c>
      <c r="D188" s="2">
        <v>0.40069444444444446</v>
      </c>
      <c r="E188">
        <v>14573.49</v>
      </c>
      <c r="F188" s="2">
        <v>0.40416666666666667</v>
      </c>
      <c r="G188">
        <v>14599</v>
      </c>
      <c r="H188">
        <v>14563.29</v>
      </c>
      <c r="I188">
        <v>14599</v>
      </c>
      <c r="J188" t="s">
        <v>14</v>
      </c>
      <c r="K188">
        <v>25.5</v>
      </c>
      <c r="L188" s="9">
        <v>2.5</v>
      </c>
      <c r="M188">
        <v>1</v>
      </c>
      <c r="N188">
        <v>2</v>
      </c>
    </row>
    <row r="189" spans="1:14" x14ac:dyDescent="0.2">
      <c r="A189" s="1">
        <v>45082</v>
      </c>
      <c r="B189">
        <v>1</v>
      </c>
      <c r="C189" t="s">
        <v>16</v>
      </c>
      <c r="D189" s="2">
        <v>0.45069444444444445</v>
      </c>
      <c r="E189">
        <v>14610.84</v>
      </c>
      <c r="F189" s="2">
        <v>0.45555555555555555</v>
      </c>
      <c r="G189">
        <v>14636.41</v>
      </c>
      <c r="H189">
        <v>14600.61</v>
      </c>
      <c r="I189">
        <v>14636.41</v>
      </c>
      <c r="J189" t="s">
        <v>14</v>
      </c>
      <c r="K189">
        <v>25.57</v>
      </c>
      <c r="L189" s="9">
        <v>2.5</v>
      </c>
      <c r="M189">
        <v>1</v>
      </c>
      <c r="N189">
        <v>3</v>
      </c>
    </row>
    <row r="190" spans="1:14" x14ac:dyDescent="0.2">
      <c r="A190" s="1">
        <v>45083</v>
      </c>
      <c r="B190">
        <v>2</v>
      </c>
      <c r="C190" t="s">
        <v>13</v>
      </c>
      <c r="D190" s="2">
        <v>0.39930555555555558</v>
      </c>
      <c r="E190">
        <v>14497.53</v>
      </c>
      <c r="F190" s="2">
        <v>0.40347222222222223</v>
      </c>
      <c r="G190">
        <v>14507.68</v>
      </c>
      <c r="H190">
        <v>14507.68</v>
      </c>
      <c r="I190">
        <v>14472.16</v>
      </c>
      <c r="J190" t="s">
        <v>15</v>
      </c>
      <c r="K190">
        <v>-10.15</v>
      </c>
      <c r="L190" s="9">
        <v>-1</v>
      </c>
      <c r="M190">
        <v>0</v>
      </c>
      <c r="N190">
        <v>0</v>
      </c>
    </row>
    <row r="191" spans="1:14" x14ac:dyDescent="0.2">
      <c r="A191" s="1">
        <v>45083</v>
      </c>
      <c r="B191">
        <v>2</v>
      </c>
      <c r="C191" t="s">
        <v>16</v>
      </c>
      <c r="D191" s="2">
        <v>0.43263888888888891</v>
      </c>
      <c r="E191">
        <v>14535.72</v>
      </c>
      <c r="F191" s="2">
        <v>0.44791666666666669</v>
      </c>
      <c r="G191">
        <v>14561.16</v>
      </c>
      <c r="H191">
        <v>14525.54</v>
      </c>
      <c r="I191">
        <v>14561.16</v>
      </c>
      <c r="J191" t="s">
        <v>14</v>
      </c>
      <c r="K191">
        <v>25.44</v>
      </c>
      <c r="L191" s="9">
        <v>2.5</v>
      </c>
      <c r="M191">
        <v>1</v>
      </c>
      <c r="N191">
        <v>0</v>
      </c>
    </row>
    <row r="192" spans="1:14" x14ac:dyDescent="0.2">
      <c r="A192" s="1">
        <v>45084</v>
      </c>
      <c r="B192">
        <v>3</v>
      </c>
      <c r="C192" t="s">
        <v>16</v>
      </c>
      <c r="D192" s="2">
        <v>0.40138888888888891</v>
      </c>
      <c r="E192">
        <v>14630.06</v>
      </c>
      <c r="F192" s="2">
        <v>0.40208333333333335</v>
      </c>
      <c r="G192">
        <v>14619.82</v>
      </c>
      <c r="H192">
        <v>14619.82</v>
      </c>
      <c r="I192">
        <v>14655.67</v>
      </c>
      <c r="J192" t="s">
        <v>15</v>
      </c>
      <c r="K192">
        <v>-10.24</v>
      </c>
      <c r="L192" s="9">
        <v>-1</v>
      </c>
      <c r="M192">
        <v>0</v>
      </c>
      <c r="N192">
        <v>0</v>
      </c>
    </row>
    <row r="193" spans="1:14" x14ac:dyDescent="0.2">
      <c r="A193" s="1">
        <v>45084</v>
      </c>
      <c r="B193">
        <v>3</v>
      </c>
      <c r="C193" t="s">
        <v>13</v>
      </c>
      <c r="D193" s="2">
        <v>0.42083333333333334</v>
      </c>
      <c r="E193">
        <v>14587.09</v>
      </c>
      <c r="F193" s="2">
        <v>0.4236111111111111</v>
      </c>
      <c r="G193">
        <v>14597.3</v>
      </c>
      <c r="H193">
        <v>14597.3</v>
      </c>
      <c r="I193">
        <v>14561.56</v>
      </c>
      <c r="J193" t="s">
        <v>15</v>
      </c>
      <c r="K193">
        <v>-10.210000000000001</v>
      </c>
      <c r="L193" s="9">
        <v>-1</v>
      </c>
      <c r="M193">
        <v>0</v>
      </c>
      <c r="N193">
        <v>2</v>
      </c>
    </row>
    <row r="194" spans="1:14" x14ac:dyDescent="0.2">
      <c r="A194" s="1">
        <v>45085</v>
      </c>
      <c r="B194">
        <v>4</v>
      </c>
      <c r="C194" t="s">
        <v>16</v>
      </c>
      <c r="D194" s="2">
        <v>0.40555555555555556</v>
      </c>
      <c r="E194">
        <v>14358.06</v>
      </c>
      <c r="F194" s="2">
        <v>0.40625</v>
      </c>
      <c r="G194">
        <v>14348.01</v>
      </c>
      <c r="H194">
        <v>14348.01</v>
      </c>
      <c r="I194">
        <v>14383.19</v>
      </c>
      <c r="J194" t="s">
        <v>15</v>
      </c>
      <c r="K194">
        <v>-10.050000000000001</v>
      </c>
      <c r="L194" s="9">
        <v>-1</v>
      </c>
      <c r="M194">
        <v>0</v>
      </c>
      <c r="N194">
        <v>3</v>
      </c>
    </row>
    <row r="195" spans="1:14" x14ac:dyDescent="0.2">
      <c r="A195" s="1">
        <v>45085</v>
      </c>
      <c r="B195">
        <v>4</v>
      </c>
      <c r="C195" t="s">
        <v>16</v>
      </c>
      <c r="D195" s="2">
        <v>0.42152777777777778</v>
      </c>
      <c r="E195">
        <v>14368.14</v>
      </c>
      <c r="F195" s="2">
        <v>0.42708333333333331</v>
      </c>
      <c r="G195">
        <v>14393.28</v>
      </c>
      <c r="H195">
        <v>14358.08</v>
      </c>
      <c r="I195">
        <v>14393.28</v>
      </c>
      <c r="J195" t="s">
        <v>14</v>
      </c>
      <c r="K195">
        <v>25.14</v>
      </c>
      <c r="L195" s="9">
        <v>2.5</v>
      </c>
      <c r="M195">
        <v>1</v>
      </c>
      <c r="N195">
        <v>0</v>
      </c>
    </row>
    <row r="196" spans="1:14" x14ac:dyDescent="0.2">
      <c r="A196" s="1">
        <v>45086</v>
      </c>
      <c r="B196">
        <v>5</v>
      </c>
      <c r="C196" t="s">
        <v>16</v>
      </c>
      <c r="D196" s="2">
        <v>0.4</v>
      </c>
      <c r="E196">
        <v>14563.36</v>
      </c>
      <c r="F196" s="2">
        <v>0.40347222222222223</v>
      </c>
      <c r="G196">
        <v>14588.85</v>
      </c>
      <c r="H196">
        <v>14553.17</v>
      </c>
      <c r="I196">
        <v>14588.85</v>
      </c>
      <c r="J196" t="s">
        <v>14</v>
      </c>
      <c r="K196">
        <v>25.49</v>
      </c>
      <c r="L196" s="9">
        <v>2.5</v>
      </c>
      <c r="M196">
        <v>1</v>
      </c>
      <c r="N196">
        <v>2</v>
      </c>
    </row>
    <row r="197" spans="1:14" x14ac:dyDescent="0.2">
      <c r="A197" s="1">
        <v>45086</v>
      </c>
      <c r="B197">
        <v>5</v>
      </c>
      <c r="C197" t="s">
        <v>13</v>
      </c>
      <c r="D197" s="2">
        <v>0.44930555555555557</v>
      </c>
      <c r="E197">
        <v>14596.94</v>
      </c>
      <c r="F197" s="2">
        <v>0.45069444444444445</v>
      </c>
      <c r="G197">
        <v>14571.4</v>
      </c>
      <c r="H197">
        <v>14607.16</v>
      </c>
      <c r="I197">
        <v>14571.4</v>
      </c>
      <c r="J197" t="s">
        <v>14</v>
      </c>
      <c r="K197">
        <v>25.54</v>
      </c>
      <c r="L197" s="9">
        <v>2.5</v>
      </c>
      <c r="M197">
        <v>1</v>
      </c>
      <c r="N197">
        <v>3</v>
      </c>
    </row>
    <row r="198" spans="1:14" x14ac:dyDescent="0.2">
      <c r="A198" s="1">
        <v>45089</v>
      </c>
      <c r="B198">
        <v>1</v>
      </c>
      <c r="C198" t="s">
        <v>16</v>
      </c>
      <c r="D198" s="2">
        <v>0.45</v>
      </c>
      <c r="E198">
        <v>14623</v>
      </c>
      <c r="F198" s="2">
        <v>0.45416666666666666</v>
      </c>
      <c r="G198">
        <v>14612.77</v>
      </c>
      <c r="H198">
        <v>14612.77</v>
      </c>
      <c r="I198">
        <v>14648.59</v>
      </c>
      <c r="J198" t="s">
        <v>15</v>
      </c>
      <c r="K198">
        <v>-10.24</v>
      </c>
      <c r="L198" s="9">
        <v>-1</v>
      </c>
      <c r="M198">
        <v>0</v>
      </c>
      <c r="N198">
        <v>0</v>
      </c>
    </row>
    <row r="199" spans="1:14" x14ac:dyDescent="0.2">
      <c r="A199" s="1">
        <v>45090</v>
      </c>
      <c r="B199">
        <v>2</v>
      </c>
      <c r="C199" t="s">
        <v>13</v>
      </c>
      <c r="D199" s="2">
        <v>0.39652777777777776</v>
      </c>
      <c r="E199">
        <v>14896.85</v>
      </c>
      <c r="F199" s="2">
        <v>0.39791666666666664</v>
      </c>
      <c r="G199">
        <v>14907.28</v>
      </c>
      <c r="H199">
        <v>14907.28</v>
      </c>
      <c r="I199">
        <v>14870.78</v>
      </c>
      <c r="J199" t="s">
        <v>15</v>
      </c>
      <c r="K199">
        <v>-10.43</v>
      </c>
      <c r="L199" s="9">
        <v>-1</v>
      </c>
      <c r="M199">
        <v>0</v>
      </c>
      <c r="N199">
        <v>2</v>
      </c>
    </row>
    <row r="200" spans="1:14" x14ac:dyDescent="0.2">
      <c r="A200" s="1">
        <v>45090</v>
      </c>
      <c r="B200">
        <v>2</v>
      </c>
      <c r="C200" t="s">
        <v>16</v>
      </c>
      <c r="D200" s="2">
        <v>0.45624999999999999</v>
      </c>
      <c r="E200">
        <v>14855.32</v>
      </c>
      <c r="F200" s="2">
        <v>0.4597222222222222</v>
      </c>
      <c r="G200">
        <v>14844.92</v>
      </c>
      <c r="H200">
        <v>14844.92</v>
      </c>
      <c r="I200">
        <v>14881.32</v>
      </c>
      <c r="J200" t="s">
        <v>15</v>
      </c>
      <c r="K200">
        <v>-10.4</v>
      </c>
      <c r="L200" s="9">
        <v>-1</v>
      </c>
      <c r="M200">
        <v>0</v>
      </c>
      <c r="N200">
        <v>3</v>
      </c>
    </row>
    <row r="201" spans="1:14" x14ac:dyDescent="0.2">
      <c r="A201" s="1">
        <v>45092</v>
      </c>
      <c r="B201">
        <v>4</v>
      </c>
      <c r="C201" t="s">
        <v>16</v>
      </c>
      <c r="D201" s="2">
        <v>0.40902777777777777</v>
      </c>
      <c r="E201">
        <v>14989.07</v>
      </c>
      <c r="F201" s="2">
        <v>0.40972222222222221</v>
      </c>
      <c r="G201">
        <v>15015.3</v>
      </c>
      <c r="H201">
        <v>14978.58</v>
      </c>
      <c r="I201">
        <v>15015.3</v>
      </c>
      <c r="J201" t="s">
        <v>14</v>
      </c>
      <c r="K201">
        <v>26.23</v>
      </c>
      <c r="L201" s="9">
        <v>2.5</v>
      </c>
      <c r="M201">
        <v>1</v>
      </c>
      <c r="N201">
        <v>0</v>
      </c>
    </row>
    <row r="202" spans="1:14" x14ac:dyDescent="0.2">
      <c r="A202" s="1">
        <v>45092</v>
      </c>
      <c r="B202">
        <v>4</v>
      </c>
      <c r="C202" t="s">
        <v>16</v>
      </c>
      <c r="D202" s="2">
        <v>0.4513888888888889</v>
      </c>
      <c r="E202">
        <v>15065.74</v>
      </c>
      <c r="F202" s="2">
        <v>0.45277777777777778</v>
      </c>
      <c r="G202">
        <v>15055.19</v>
      </c>
      <c r="H202">
        <v>15055.19</v>
      </c>
      <c r="I202">
        <v>15092.1</v>
      </c>
      <c r="J202" t="s">
        <v>15</v>
      </c>
      <c r="K202">
        <v>-10.55</v>
      </c>
      <c r="L202" s="9">
        <v>-1</v>
      </c>
      <c r="M202">
        <v>0</v>
      </c>
      <c r="N202">
        <v>0</v>
      </c>
    </row>
    <row r="203" spans="1:14" x14ac:dyDescent="0.2">
      <c r="A203" s="1">
        <v>45093</v>
      </c>
      <c r="B203">
        <v>5</v>
      </c>
      <c r="C203" t="s">
        <v>13</v>
      </c>
      <c r="D203" s="2">
        <v>0.40416666666666667</v>
      </c>
      <c r="E203">
        <v>15192.81</v>
      </c>
      <c r="F203" s="2">
        <v>0.40486111111111112</v>
      </c>
      <c r="G203">
        <v>15166.22</v>
      </c>
      <c r="H203">
        <v>15203.44</v>
      </c>
      <c r="I203">
        <v>15166.22</v>
      </c>
      <c r="J203" t="s">
        <v>14</v>
      </c>
      <c r="K203">
        <v>26.59</v>
      </c>
      <c r="L203" s="9">
        <v>2.5</v>
      </c>
      <c r="M203">
        <v>1</v>
      </c>
      <c r="N203">
        <v>0</v>
      </c>
    </row>
    <row r="204" spans="1:14" x14ac:dyDescent="0.2">
      <c r="A204" s="1">
        <v>45093</v>
      </c>
      <c r="B204">
        <v>5</v>
      </c>
      <c r="C204" t="s">
        <v>16</v>
      </c>
      <c r="D204" s="2">
        <v>0.43888888888888888</v>
      </c>
      <c r="E204">
        <v>15212.06</v>
      </c>
      <c r="F204" s="2">
        <v>0.44444444444444442</v>
      </c>
      <c r="G204">
        <v>15201.41</v>
      </c>
      <c r="H204">
        <v>15201.41</v>
      </c>
      <c r="I204">
        <v>15238.68</v>
      </c>
      <c r="J204" t="s">
        <v>15</v>
      </c>
      <c r="K204">
        <v>-10.65</v>
      </c>
      <c r="L204" s="9">
        <v>-1</v>
      </c>
      <c r="M204">
        <v>0</v>
      </c>
      <c r="N204">
        <v>0</v>
      </c>
    </row>
    <row r="205" spans="1:14" x14ac:dyDescent="0.2">
      <c r="A205" s="1">
        <v>45096</v>
      </c>
      <c r="B205">
        <v>1</v>
      </c>
      <c r="C205" t="s">
        <v>13</v>
      </c>
      <c r="D205" s="2">
        <v>0.40138888888888891</v>
      </c>
      <c r="E205">
        <v>15057.53</v>
      </c>
      <c r="F205" s="2">
        <v>0.59513888888888888</v>
      </c>
      <c r="G205">
        <v>15068.07</v>
      </c>
      <c r="H205">
        <v>15068.07</v>
      </c>
      <c r="I205">
        <v>15031.18</v>
      </c>
      <c r="J205" t="s">
        <v>15</v>
      </c>
      <c r="K205">
        <v>-10.54</v>
      </c>
      <c r="L205" s="9">
        <v>-1</v>
      </c>
      <c r="M205">
        <v>0</v>
      </c>
      <c r="N205">
        <v>2</v>
      </c>
    </row>
    <row r="206" spans="1:14" x14ac:dyDescent="0.2">
      <c r="A206" s="1">
        <v>45097</v>
      </c>
      <c r="B206">
        <v>2</v>
      </c>
      <c r="C206" t="s">
        <v>16</v>
      </c>
      <c r="D206" s="2">
        <v>0.40347222222222223</v>
      </c>
      <c r="E206">
        <v>15105.43</v>
      </c>
      <c r="F206" s="2">
        <v>0.40555555555555556</v>
      </c>
      <c r="G206">
        <v>15094.85</v>
      </c>
      <c r="H206">
        <v>15094.85</v>
      </c>
      <c r="I206">
        <v>15131.86</v>
      </c>
      <c r="J206" t="s">
        <v>15</v>
      </c>
      <c r="K206">
        <v>-10.57</v>
      </c>
      <c r="L206" s="9">
        <v>-1</v>
      </c>
      <c r="M206">
        <v>0</v>
      </c>
      <c r="N206">
        <v>3</v>
      </c>
    </row>
    <row r="207" spans="1:14" x14ac:dyDescent="0.2">
      <c r="A207" s="1">
        <v>45097</v>
      </c>
      <c r="B207">
        <v>2</v>
      </c>
      <c r="C207" t="s">
        <v>13</v>
      </c>
      <c r="D207" s="2">
        <v>0.43472222222222223</v>
      </c>
      <c r="E207">
        <v>14977.46</v>
      </c>
      <c r="F207" s="2">
        <v>0.43680555555555556</v>
      </c>
      <c r="G207">
        <v>14951.25</v>
      </c>
      <c r="H207">
        <v>14987.95</v>
      </c>
      <c r="I207">
        <v>14951.25</v>
      </c>
      <c r="J207" t="s">
        <v>14</v>
      </c>
      <c r="K207">
        <v>26.21</v>
      </c>
      <c r="L207" s="9">
        <v>2.5</v>
      </c>
      <c r="M207">
        <v>1</v>
      </c>
      <c r="N207">
        <v>0</v>
      </c>
    </row>
    <row r="208" spans="1:14" x14ac:dyDescent="0.2">
      <c r="A208" s="1">
        <v>45103</v>
      </c>
      <c r="B208">
        <v>1</v>
      </c>
      <c r="C208" t="s">
        <v>16</v>
      </c>
      <c r="D208" s="2">
        <v>0.40902777777777777</v>
      </c>
      <c r="E208">
        <v>14926.13</v>
      </c>
      <c r="F208" s="2">
        <v>0.40972222222222221</v>
      </c>
      <c r="G208">
        <v>14915.68</v>
      </c>
      <c r="H208">
        <v>14915.68</v>
      </c>
      <c r="I208">
        <v>14952.25</v>
      </c>
      <c r="J208" t="s">
        <v>15</v>
      </c>
      <c r="K208">
        <v>-10.45</v>
      </c>
      <c r="L208" s="9">
        <v>-1</v>
      </c>
      <c r="M208">
        <v>0</v>
      </c>
      <c r="N208">
        <v>0</v>
      </c>
    </row>
    <row r="209" spans="1:14" x14ac:dyDescent="0.2">
      <c r="A209" s="1">
        <v>45103</v>
      </c>
      <c r="B209">
        <v>1</v>
      </c>
      <c r="C209" t="s">
        <v>13</v>
      </c>
      <c r="D209" s="2">
        <v>0.44166666666666665</v>
      </c>
      <c r="E209">
        <v>14921.44</v>
      </c>
      <c r="F209" s="2">
        <v>0.44374999999999998</v>
      </c>
      <c r="G209">
        <v>14895.33</v>
      </c>
      <c r="H209">
        <v>14931.89</v>
      </c>
      <c r="I209">
        <v>14895.33</v>
      </c>
      <c r="J209" t="s">
        <v>14</v>
      </c>
      <c r="K209">
        <v>26.11</v>
      </c>
      <c r="L209" s="9">
        <v>2.5</v>
      </c>
      <c r="M209">
        <v>1</v>
      </c>
      <c r="N209">
        <v>0</v>
      </c>
    </row>
    <row r="210" spans="1:14" x14ac:dyDescent="0.2">
      <c r="A210" s="1">
        <v>45105</v>
      </c>
      <c r="B210">
        <v>3</v>
      </c>
      <c r="C210" t="s">
        <v>16</v>
      </c>
      <c r="D210" s="2">
        <v>0.40277777777777779</v>
      </c>
      <c r="E210">
        <v>14910.34</v>
      </c>
      <c r="F210" s="2">
        <v>0.40416666666666667</v>
      </c>
      <c r="G210">
        <v>14936.43</v>
      </c>
      <c r="H210">
        <v>14899.9</v>
      </c>
      <c r="I210">
        <v>14936.43</v>
      </c>
      <c r="J210" t="s">
        <v>14</v>
      </c>
      <c r="K210">
        <v>26.09</v>
      </c>
      <c r="L210" s="9">
        <v>2.5</v>
      </c>
      <c r="M210">
        <v>1</v>
      </c>
      <c r="N210">
        <v>2</v>
      </c>
    </row>
    <row r="211" spans="1:14" x14ac:dyDescent="0.2">
      <c r="A211" s="1">
        <v>45105</v>
      </c>
      <c r="B211">
        <v>3</v>
      </c>
      <c r="C211" t="s">
        <v>16</v>
      </c>
      <c r="D211" s="2">
        <v>0.44722222222222224</v>
      </c>
      <c r="E211">
        <v>15022.93</v>
      </c>
      <c r="F211" s="2">
        <v>0.45763888888888887</v>
      </c>
      <c r="G211">
        <v>15012.42</v>
      </c>
      <c r="H211">
        <v>15012.42</v>
      </c>
      <c r="I211">
        <v>15049.23</v>
      </c>
      <c r="J211" t="s">
        <v>15</v>
      </c>
      <c r="K211">
        <v>-10.52</v>
      </c>
      <c r="L211" s="9">
        <v>-1</v>
      </c>
      <c r="M211">
        <v>0</v>
      </c>
      <c r="N211">
        <v>0</v>
      </c>
    </row>
    <row r="212" spans="1:14" x14ac:dyDescent="0.2">
      <c r="A212" s="1">
        <v>45106</v>
      </c>
      <c r="B212">
        <v>4</v>
      </c>
      <c r="C212" t="s">
        <v>13</v>
      </c>
      <c r="D212" s="2">
        <v>0.41458333333333336</v>
      </c>
      <c r="E212">
        <v>14938.07</v>
      </c>
      <c r="F212" s="2">
        <v>0.41736111111111113</v>
      </c>
      <c r="G212">
        <v>14948.53</v>
      </c>
      <c r="H212">
        <v>14948.53</v>
      </c>
      <c r="I212">
        <v>14911.93</v>
      </c>
      <c r="J212" t="s">
        <v>15</v>
      </c>
      <c r="K212">
        <v>-10.46</v>
      </c>
      <c r="L212" s="9">
        <v>-1</v>
      </c>
      <c r="M212">
        <v>0</v>
      </c>
      <c r="N212">
        <v>2</v>
      </c>
    </row>
    <row r="213" spans="1:14" x14ac:dyDescent="0.2">
      <c r="A213" s="1">
        <v>45106</v>
      </c>
      <c r="B213">
        <v>4</v>
      </c>
      <c r="C213" t="s">
        <v>13</v>
      </c>
      <c r="D213" s="2">
        <v>0.42638888888888887</v>
      </c>
      <c r="E213">
        <v>14892.69</v>
      </c>
      <c r="F213" s="2">
        <v>0.42708333333333331</v>
      </c>
      <c r="G213">
        <v>14903.12</v>
      </c>
      <c r="H213">
        <v>14903.12</v>
      </c>
      <c r="I213">
        <v>14866.63</v>
      </c>
      <c r="J213" t="s">
        <v>15</v>
      </c>
      <c r="K213">
        <v>-10.42</v>
      </c>
      <c r="L213" s="9">
        <v>-1</v>
      </c>
      <c r="M213">
        <v>0</v>
      </c>
      <c r="N213">
        <v>3</v>
      </c>
    </row>
    <row r="214" spans="1:14" x14ac:dyDescent="0.2">
      <c r="A214" s="1">
        <v>45107</v>
      </c>
      <c r="B214">
        <v>5</v>
      </c>
      <c r="C214" t="s">
        <v>16</v>
      </c>
      <c r="D214" s="2">
        <v>0.40763888888888888</v>
      </c>
      <c r="E214">
        <v>15141.05</v>
      </c>
      <c r="F214" s="2">
        <v>0.40902777777777777</v>
      </c>
      <c r="G214">
        <v>15167.55</v>
      </c>
      <c r="H214">
        <v>15130.45</v>
      </c>
      <c r="I214">
        <v>15167.55</v>
      </c>
      <c r="J214" t="s">
        <v>14</v>
      </c>
      <c r="K214">
        <v>26.5</v>
      </c>
      <c r="L214" s="9">
        <v>2.5</v>
      </c>
      <c r="M214">
        <v>1</v>
      </c>
      <c r="N214">
        <v>0</v>
      </c>
    </row>
    <row r="215" spans="1:14" x14ac:dyDescent="0.2">
      <c r="A215" s="1">
        <v>45111</v>
      </c>
      <c r="B215">
        <v>2</v>
      </c>
      <c r="C215" t="s">
        <v>16</v>
      </c>
      <c r="D215" s="2">
        <v>0.39583333333333331</v>
      </c>
      <c r="E215">
        <v>15208.99</v>
      </c>
      <c r="F215" s="2">
        <v>0.43472222222222223</v>
      </c>
      <c r="G215">
        <v>15198.34</v>
      </c>
      <c r="H215">
        <v>15198.34</v>
      </c>
      <c r="I215">
        <v>15235.6</v>
      </c>
      <c r="J215" t="s">
        <v>15</v>
      </c>
      <c r="K215">
        <v>-10.65</v>
      </c>
      <c r="L215" s="9">
        <v>-1</v>
      </c>
      <c r="M215">
        <v>0</v>
      </c>
      <c r="N215">
        <v>0</v>
      </c>
    </row>
    <row r="216" spans="1:14" x14ac:dyDescent="0.2">
      <c r="A216" s="1">
        <v>45111</v>
      </c>
      <c r="B216">
        <v>2</v>
      </c>
      <c r="C216" t="s">
        <v>13</v>
      </c>
      <c r="D216" s="2">
        <v>0.43611111111111112</v>
      </c>
      <c r="E216">
        <v>15198.98</v>
      </c>
      <c r="F216" s="2">
        <v>0.64583333333333337</v>
      </c>
      <c r="G216">
        <v>15186</v>
      </c>
      <c r="H216">
        <v>15209.62</v>
      </c>
      <c r="I216">
        <v>15172.38</v>
      </c>
      <c r="J216" t="s">
        <v>18</v>
      </c>
      <c r="K216">
        <v>12.98</v>
      </c>
      <c r="L216" s="9">
        <v>1.220149036</v>
      </c>
      <c r="M216">
        <v>1</v>
      </c>
      <c r="N216">
        <v>0</v>
      </c>
    </row>
    <row r="217" spans="1:14" x14ac:dyDescent="0.2">
      <c r="A217" s="1">
        <v>45112</v>
      </c>
      <c r="B217">
        <v>3</v>
      </c>
      <c r="C217" t="s">
        <v>16</v>
      </c>
      <c r="D217" s="2">
        <v>0.39930555555555558</v>
      </c>
      <c r="E217">
        <v>15175.54</v>
      </c>
      <c r="F217" s="2">
        <v>0.40277777777777779</v>
      </c>
      <c r="G217">
        <v>15202.1</v>
      </c>
      <c r="H217">
        <v>15164.92</v>
      </c>
      <c r="I217">
        <v>15202.1</v>
      </c>
      <c r="J217" t="s">
        <v>14</v>
      </c>
      <c r="K217">
        <v>26.56</v>
      </c>
      <c r="L217" s="9">
        <v>2.5</v>
      </c>
      <c r="M217">
        <v>1</v>
      </c>
      <c r="N217">
        <v>2</v>
      </c>
    </row>
    <row r="218" spans="1:14" x14ac:dyDescent="0.2">
      <c r="A218" s="1">
        <v>45112</v>
      </c>
      <c r="B218">
        <v>3</v>
      </c>
      <c r="C218" t="s">
        <v>16</v>
      </c>
      <c r="D218" s="2">
        <v>0.43194444444444446</v>
      </c>
      <c r="E218">
        <v>15255.72</v>
      </c>
      <c r="F218" s="2">
        <v>0.45</v>
      </c>
      <c r="G218">
        <v>15245.04</v>
      </c>
      <c r="H218">
        <v>15245.04</v>
      </c>
      <c r="I218">
        <v>15282.41</v>
      </c>
      <c r="J218" t="s">
        <v>15</v>
      </c>
      <c r="K218">
        <v>-10.68</v>
      </c>
      <c r="L218" s="9">
        <v>-1</v>
      </c>
      <c r="M218">
        <v>0</v>
      </c>
      <c r="N218">
        <v>0</v>
      </c>
    </row>
    <row r="219" spans="1:14" x14ac:dyDescent="0.2">
      <c r="A219" s="1">
        <v>45114</v>
      </c>
      <c r="B219">
        <v>5</v>
      </c>
      <c r="C219" t="s">
        <v>16</v>
      </c>
      <c r="D219" s="2">
        <v>0.41111111111111109</v>
      </c>
      <c r="E219">
        <v>15107.63</v>
      </c>
      <c r="F219" s="2">
        <v>0.42708333333333331</v>
      </c>
      <c r="G219">
        <v>15097.05</v>
      </c>
      <c r="H219">
        <v>15097.05</v>
      </c>
      <c r="I219">
        <v>15134.06</v>
      </c>
      <c r="J219" t="s">
        <v>15</v>
      </c>
      <c r="K219">
        <v>-10.58</v>
      </c>
      <c r="L219" s="9">
        <v>-1</v>
      </c>
      <c r="M219">
        <v>0</v>
      </c>
      <c r="N219">
        <v>2</v>
      </c>
    </row>
    <row r="220" spans="1:14" x14ac:dyDescent="0.2">
      <c r="A220" s="1">
        <v>45114</v>
      </c>
      <c r="B220">
        <v>5</v>
      </c>
      <c r="C220" t="s">
        <v>13</v>
      </c>
      <c r="D220" s="2">
        <v>0.44166666666666665</v>
      </c>
      <c r="E220">
        <v>15053.51</v>
      </c>
      <c r="F220" s="2">
        <v>0.44305555555555554</v>
      </c>
      <c r="G220">
        <v>15064.05</v>
      </c>
      <c r="H220">
        <v>15064.05</v>
      </c>
      <c r="I220">
        <v>15027.17</v>
      </c>
      <c r="J220" t="s">
        <v>15</v>
      </c>
      <c r="K220">
        <v>-10.54</v>
      </c>
      <c r="L220" s="9">
        <v>-1</v>
      </c>
      <c r="M220">
        <v>0</v>
      </c>
      <c r="N220">
        <v>3</v>
      </c>
    </row>
    <row r="221" spans="1:14" x14ac:dyDescent="0.2">
      <c r="A221" s="1">
        <v>45117</v>
      </c>
      <c r="B221">
        <v>1</v>
      </c>
      <c r="C221" t="s">
        <v>13</v>
      </c>
      <c r="D221" s="2">
        <v>0.41319444444444442</v>
      </c>
      <c r="E221">
        <v>14972.97</v>
      </c>
      <c r="F221" s="2">
        <v>0.41388888888888886</v>
      </c>
      <c r="G221">
        <v>14946.77</v>
      </c>
      <c r="H221">
        <v>14983.45</v>
      </c>
      <c r="I221">
        <v>14946.77</v>
      </c>
      <c r="J221" t="s">
        <v>14</v>
      </c>
      <c r="K221">
        <v>26.2</v>
      </c>
      <c r="L221" s="9">
        <v>2.5</v>
      </c>
      <c r="M221">
        <v>1</v>
      </c>
      <c r="N221">
        <v>0</v>
      </c>
    </row>
    <row r="222" spans="1:14" x14ac:dyDescent="0.2">
      <c r="A222" s="1">
        <v>45117</v>
      </c>
      <c r="B222">
        <v>1</v>
      </c>
      <c r="C222" t="s">
        <v>16</v>
      </c>
      <c r="D222" s="2">
        <v>0.43472222222222223</v>
      </c>
      <c r="E222">
        <v>15046.92</v>
      </c>
      <c r="F222" s="2">
        <v>0.43611111111111112</v>
      </c>
      <c r="G222">
        <v>15036.39</v>
      </c>
      <c r="H222">
        <v>15036.39</v>
      </c>
      <c r="I222">
        <v>15073.26</v>
      </c>
      <c r="J222" t="s">
        <v>15</v>
      </c>
      <c r="K222">
        <v>-10.53</v>
      </c>
      <c r="L222" s="9">
        <v>-1</v>
      </c>
      <c r="M222">
        <v>0</v>
      </c>
      <c r="N222">
        <v>0</v>
      </c>
    </row>
    <row r="223" spans="1:14" x14ac:dyDescent="0.2">
      <c r="A223" s="1">
        <v>45117</v>
      </c>
      <c r="B223">
        <v>1</v>
      </c>
      <c r="C223" t="s">
        <v>13</v>
      </c>
      <c r="D223" s="2">
        <v>0.45555555555555555</v>
      </c>
      <c r="E223">
        <v>15003.53</v>
      </c>
      <c r="F223" s="2">
        <v>0.45624999999999999</v>
      </c>
      <c r="G223">
        <v>15014.04</v>
      </c>
      <c r="H223">
        <v>15014.04</v>
      </c>
      <c r="I223">
        <v>14977.28</v>
      </c>
      <c r="J223" t="s">
        <v>15</v>
      </c>
      <c r="K223">
        <v>-10.5</v>
      </c>
      <c r="L223" s="9">
        <v>-1</v>
      </c>
      <c r="M223">
        <v>0</v>
      </c>
      <c r="N223">
        <v>2</v>
      </c>
    </row>
    <row r="224" spans="1:14" x14ac:dyDescent="0.2">
      <c r="A224" s="1">
        <v>45118</v>
      </c>
      <c r="B224">
        <v>2</v>
      </c>
      <c r="C224" t="s">
        <v>13</v>
      </c>
      <c r="D224" s="2">
        <v>0.39861111111111114</v>
      </c>
      <c r="E224">
        <v>15057.59</v>
      </c>
      <c r="F224" s="2">
        <v>0.39930555555555558</v>
      </c>
      <c r="G224">
        <v>15068.13</v>
      </c>
      <c r="H224">
        <v>15068.13</v>
      </c>
      <c r="I224">
        <v>15031.24</v>
      </c>
      <c r="J224" t="s">
        <v>15</v>
      </c>
      <c r="K224">
        <v>-10.54</v>
      </c>
      <c r="L224" s="9">
        <v>-1</v>
      </c>
      <c r="M224">
        <v>0</v>
      </c>
      <c r="N224">
        <v>3</v>
      </c>
    </row>
    <row r="225" spans="1:14" x14ac:dyDescent="0.2">
      <c r="A225" s="1">
        <v>45118</v>
      </c>
      <c r="B225">
        <v>2</v>
      </c>
      <c r="C225" t="s">
        <v>13</v>
      </c>
      <c r="D225" s="2">
        <v>0.41041666666666665</v>
      </c>
      <c r="E225">
        <v>15019.62</v>
      </c>
      <c r="F225" s="2">
        <v>0.41180555555555554</v>
      </c>
      <c r="G225">
        <v>15030.13</v>
      </c>
      <c r="H225">
        <v>15030.13</v>
      </c>
      <c r="I225">
        <v>14993.34</v>
      </c>
      <c r="J225" t="s">
        <v>15</v>
      </c>
      <c r="K225">
        <v>-10.51</v>
      </c>
      <c r="L225" s="9">
        <v>-1</v>
      </c>
      <c r="M225">
        <v>0</v>
      </c>
      <c r="N225">
        <v>4</v>
      </c>
    </row>
    <row r="226" spans="1:14" x14ac:dyDescent="0.2">
      <c r="A226" s="1">
        <v>45118</v>
      </c>
      <c r="B226">
        <v>2</v>
      </c>
      <c r="C226" t="s">
        <v>16</v>
      </c>
      <c r="D226" s="2">
        <v>0.4375</v>
      </c>
      <c r="E226">
        <v>15031.35</v>
      </c>
      <c r="F226" s="2">
        <v>0.44444444444444442</v>
      </c>
      <c r="G226">
        <v>15057.66</v>
      </c>
      <c r="H226">
        <v>15020.83</v>
      </c>
      <c r="I226">
        <v>15057.66</v>
      </c>
      <c r="J226" t="s">
        <v>14</v>
      </c>
      <c r="K226">
        <v>26.3</v>
      </c>
      <c r="L226" s="9">
        <v>2.5</v>
      </c>
      <c r="M226">
        <v>1</v>
      </c>
      <c r="N226">
        <v>0</v>
      </c>
    </row>
    <row r="227" spans="1:14" x14ac:dyDescent="0.2">
      <c r="A227" s="1">
        <v>45119</v>
      </c>
      <c r="B227">
        <v>3</v>
      </c>
      <c r="C227" t="s">
        <v>16</v>
      </c>
      <c r="D227" s="2">
        <v>0.39652777777777776</v>
      </c>
      <c r="E227">
        <v>15286.47</v>
      </c>
      <c r="F227" s="2">
        <v>0.3972222222222222</v>
      </c>
      <c r="G227">
        <v>15275.77</v>
      </c>
      <c r="H227">
        <v>15275.77</v>
      </c>
      <c r="I227">
        <v>15313.22</v>
      </c>
      <c r="J227" t="s">
        <v>15</v>
      </c>
      <c r="K227">
        <v>-10.7</v>
      </c>
      <c r="L227" s="9">
        <v>-1</v>
      </c>
      <c r="M227">
        <v>0</v>
      </c>
      <c r="N227">
        <v>0</v>
      </c>
    </row>
    <row r="228" spans="1:14" x14ac:dyDescent="0.2">
      <c r="A228" s="1">
        <v>45119</v>
      </c>
      <c r="B228">
        <v>3</v>
      </c>
      <c r="C228" t="s">
        <v>16</v>
      </c>
      <c r="D228" s="2">
        <v>0.42569444444444443</v>
      </c>
      <c r="E228">
        <v>15338.07</v>
      </c>
      <c r="F228" s="2">
        <v>0.45347222222222222</v>
      </c>
      <c r="G228">
        <v>15327.33</v>
      </c>
      <c r="H228">
        <v>15327.33</v>
      </c>
      <c r="I228">
        <v>15364.91</v>
      </c>
      <c r="J228" t="s">
        <v>15</v>
      </c>
      <c r="K228">
        <v>-10.74</v>
      </c>
      <c r="L228" s="9">
        <v>-1</v>
      </c>
      <c r="M228">
        <v>0</v>
      </c>
      <c r="N228">
        <v>2</v>
      </c>
    </row>
    <row r="229" spans="1:14" x14ac:dyDescent="0.2">
      <c r="A229" s="1">
        <v>45120</v>
      </c>
      <c r="B229">
        <v>4</v>
      </c>
      <c r="C229" t="s">
        <v>16</v>
      </c>
      <c r="D229" s="2">
        <v>0.39583333333333331</v>
      </c>
      <c r="E229">
        <v>15431.05</v>
      </c>
      <c r="F229" s="2">
        <v>0.39652777777777776</v>
      </c>
      <c r="G229">
        <v>15420.25</v>
      </c>
      <c r="H229">
        <v>15420.25</v>
      </c>
      <c r="I229">
        <v>15458.05</v>
      </c>
      <c r="J229" t="s">
        <v>15</v>
      </c>
      <c r="K229">
        <v>-10.8</v>
      </c>
      <c r="L229" s="9">
        <v>-1</v>
      </c>
      <c r="M229">
        <v>0</v>
      </c>
      <c r="N229">
        <v>3</v>
      </c>
    </row>
    <row r="230" spans="1:14" x14ac:dyDescent="0.2">
      <c r="A230" s="1">
        <v>45120</v>
      </c>
      <c r="B230">
        <v>4</v>
      </c>
      <c r="C230" t="s">
        <v>13</v>
      </c>
      <c r="D230" s="2">
        <v>0.43680555555555556</v>
      </c>
      <c r="E230">
        <v>15437.7</v>
      </c>
      <c r="F230" s="2">
        <v>0.44166666666666665</v>
      </c>
      <c r="G230">
        <v>15448.5</v>
      </c>
      <c r="H230">
        <v>15448.5</v>
      </c>
      <c r="I230">
        <v>15410.68</v>
      </c>
      <c r="J230" t="s">
        <v>15</v>
      </c>
      <c r="K230">
        <v>-10.81</v>
      </c>
      <c r="L230" s="9">
        <v>-1</v>
      </c>
      <c r="M230">
        <v>0</v>
      </c>
      <c r="N230">
        <v>4</v>
      </c>
    </row>
    <row r="231" spans="1:14" x14ac:dyDescent="0.2">
      <c r="A231" s="1">
        <v>45121</v>
      </c>
      <c r="B231">
        <v>5</v>
      </c>
      <c r="C231" t="s">
        <v>16</v>
      </c>
      <c r="D231" s="2">
        <v>0.40069444444444446</v>
      </c>
      <c r="E231">
        <v>15629.54</v>
      </c>
      <c r="F231" s="2">
        <v>0.40208333333333335</v>
      </c>
      <c r="G231">
        <v>15656.89</v>
      </c>
      <c r="H231">
        <v>15618.6</v>
      </c>
      <c r="I231">
        <v>15656.89</v>
      </c>
      <c r="J231" t="s">
        <v>14</v>
      </c>
      <c r="K231">
        <v>27.35</v>
      </c>
      <c r="L231" s="9">
        <v>2.5</v>
      </c>
      <c r="M231">
        <v>1</v>
      </c>
      <c r="N231">
        <v>0</v>
      </c>
    </row>
    <row r="232" spans="1:14" x14ac:dyDescent="0.2">
      <c r="A232" s="1">
        <v>45121</v>
      </c>
      <c r="B232">
        <v>5</v>
      </c>
      <c r="C232" t="s">
        <v>13</v>
      </c>
      <c r="D232" s="2">
        <v>0.45208333333333334</v>
      </c>
      <c r="E232">
        <v>15636.08</v>
      </c>
      <c r="F232" s="2">
        <v>0.45277777777777778</v>
      </c>
      <c r="G232">
        <v>15647.03</v>
      </c>
      <c r="H232">
        <v>15647.03</v>
      </c>
      <c r="I232">
        <v>15608.72</v>
      </c>
      <c r="J232" t="s">
        <v>15</v>
      </c>
      <c r="K232">
        <v>-10.95</v>
      </c>
      <c r="L232" s="9">
        <v>-1</v>
      </c>
      <c r="M232">
        <v>0</v>
      </c>
      <c r="N232">
        <v>0</v>
      </c>
    </row>
    <row r="233" spans="1:14" x14ac:dyDescent="0.2">
      <c r="A233" s="1">
        <v>45124</v>
      </c>
      <c r="B233">
        <v>1</v>
      </c>
      <c r="C233" t="s">
        <v>16</v>
      </c>
      <c r="D233" s="2">
        <v>0.39583333333333331</v>
      </c>
      <c r="E233">
        <v>15596.61</v>
      </c>
      <c r="F233" s="2">
        <v>0.39652777777777776</v>
      </c>
      <c r="G233">
        <v>15623.91</v>
      </c>
      <c r="H233">
        <v>15585.69</v>
      </c>
      <c r="I233">
        <v>15623.91</v>
      </c>
      <c r="J233" t="s">
        <v>14</v>
      </c>
      <c r="K233">
        <v>27.29</v>
      </c>
      <c r="L233" s="9">
        <v>2.5</v>
      </c>
      <c r="M233">
        <v>1</v>
      </c>
      <c r="N233">
        <v>0</v>
      </c>
    </row>
    <row r="234" spans="1:14" x14ac:dyDescent="0.2">
      <c r="A234" s="1">
        <v>45124</v>
      </c>
      <c r="B234">
        <v>1</v>
      </c>
      <c r="C234" t="s">
        <v>16</v>
      </c>
      <c r="D234" s="2">
        <v>0.4284722222222222</v>
      </c>
      <c r="E234">
        <v>15616.09</v>
      </c>
      <c r="F234" s="2">
        <v>0.4777777777777778</v>
      </c>
      <c r="G234">
        <v>15643.42</v>
      </c>
      <c r="H234">
        <v>15605.16</v>
      </c>
      <c r="I234">
        <v>15643.42</v>
      </c>
      <c r="J234" t="s">
        <v>14</v>
      </c>
      <c r="K234">
        <v>27.33</v>
      </c>
      <c r="L234" s="9">
        <v>2.5</v>
      </c>
      <c r="M234">
        <v>1</v>
      </c>
      <c r="N234">
        <v>2</v>
      </c>
    </row>
    <row r="235" spans="1:14" x14ac:dyDescent="0.2">
      <c r="A235" s="1">
        <v>45125</v>
      </c>
      <c r="B235">
        <v>2</v>
      </c>
      <c r="C235" t="s">
        <v>13</v>
      </c>
      <c r="D235" s="2">
        <v>0.40138888888888891</v>
      </c>
      <c r="E235">
        <v>15635.1</v>
      </c>
      <c r="F235" s="2">
        <v>0.40347222222222223</v>
      </c>
      <c r="G235">
        <v>15646.05</v>
      </c>
      <c r="H235">
        <v>15646.05</v>
      </c>
      <c r="I235">
        <v>15607.74</v>
      </c>
      <c r="J235" t="s">
        <v>15</v>
      </c>
      <c r="K235">
        <v>-10.94</v>
      </c>
      <c r="L235" s="9">
        <v>-1</v>
      </c>
      <c r="M235">
        <v>0</v>
      </c>
      <c r="N235">
        <v>0</v>
      </c>
    </row>
    <row r="236" spans="1:14" x14ac:dyDescent="0.2">
      <c r="A236" s="1">
        <v>45125</v>
      </c>
      <c r="B236">
        <v>2</v>
      </c>
      <c r="C236" t="s">
        <v>16</v>
      </c>
      <c r="D236" s="2">
        <v>0.45069444444444445</v>
      </c>
      <c r="E236">
        <v>15662.46</v>
      </c>
      <c r="F236" s="2">
        <v>0.45347222222222222</v>
      </c>
      <c r="G236">
        <v>15651.49</v>
      </c>
      <c r="H236">
        <v>15651.49</v>
      </c>
      <c r="I236">
        <v>15689.87</v>
      </c>
      <c r="J236" t="s">
        <v>15</v>
      </c>
      <c r="K236">
        <v>-10.96</v>
      </c>
      <c r="L236" s="9">
        <v>-1</v>
      </c>
      <c r="M236">
        <v>0</v>
      </c>
      <c r="N236">
        <v>2</v>
      </c>
    </row>
    <row r="237" spans="1:14" x14ac:dyDescent="0.2">
      <c r="A237" s="1">
        <v>45126</v>
      </c>
      <c r="B237">
        <v>3</v>
      </c>
      <c r="C237" t="s">
        <v>13</v>
      </c>
      <c r="D237" s="2">
        <v>0.42916666666666664</v>
      </c>
      <c r="E237">
        <v>15851.99</v>
      </c>
      <c r="F237" s="2">
        <v>0.43055555555555558</v>
      </c>
      <c r="G237">
        <v>15863.09</v>
      </c>
      <c r="H237">
        <v>15863.09</v>
      </c>
      <c r="I237">
        <v>15824.25</v>
      </c>
      <c r="J237" t="s">
        <v>15</v>
      </c>
      <c r="K237">
        <v>-11.1</v>
      </c>
      <c r="L237" s="9">
        <v>-1</v>
      </c>
      <c r="M237">
        <v>0</v>
      </c>
      <c r="N237">
        <v>3</v>
      </c>
    </row>
    <row r="238" spans="1:14" x14ac:dyDescent="0.2">
      <c r="A238" s="1">
        <v>45126</v>
      </c>
      <c r="B238">
        <v>3</v>
      </c>
      <c r="C238" t="s">
        <v>16</v>
      </c>
      <c r="D238" s="2">
        <v>0.44861111111111113</v>
      </c>
      <c r="E238">
        <v>15903.37</v>
      </c>
      <c r="F238" s="2">
        <v>0.44930555555555557</v>
      </c>
      <c r="G238">
        <v>15892.23</v>
      </c>
      <c r="H238">
        <v>15892.23</v>
      </c>
      <c r="I238">
        <v>15931.2</v>
      </c>
      <c r="J238" t="s">
        <v>15</v>
      </c>
      <c r="K238">
        <v>-11.13</v>
      </c>
      <c r="L238" s="9">
        <v>-1</v>
      </c>
      <c r="M238">
        <v>0</v>
      </c>
      <c r="N238">
        <v>4</v>
      </c>
    </row>
    <row r="239" spans="1:14" x14ac:dyDescent="0.2">
      <c r="A239" s="1">
        <v>45127</v>
      </c>
      <c r="B239">
        <v>4</v>
      </c>
      <c r="C239" t="s">
        <v>16</v>
      </c>
      <c r="D239" s="2">
        <v>0.39930555555555558</v>
      </c>
      <c r="E239">
        <v>15736.79</v>
      </c>
      <c r="F239" s="2">
        <v>0.40763888888888888</v>
      </c>
      <c r="G239">
        <v>15764.33</v>
      </c>
      <c r="H239">
        <v>15725.78</v>
      </c>
      <c r="I239">
        <v>15764.33</v>
      </c>
      <c r="J239" t="s">
        <v>14</v>
      </c>
      <c r="K239">
        <v>27.54</v>
      </c>
      <c r="L239" s="9">
        <v>2.5</v>
      </c>
      <c r="M239">
        <v>1</v>
      </c>
      <c r="N239">
        <v>0</v>
      </c>
    </row>
    <row r="240" spans="1:14" x14ac:dyDescent="0.2">
      <c r="A240" s="1">
        <v>45127</v>
      </c>
      <c r="B240">
        <v>4</v>
      </c>
      <c r="C240" t="s">
        <v>13</v>
      </c>
      <c r="D240" s="2">
        <v>0.42291666666666666</v>
      </c>
      <c r="E240">
        <v>15692.41</v>
      </c>
      <c r="F240" s="2">
        <v>0.42569444444444443</v>
      </c>
      <c r="G240">
        <v>15703.39</v>
      </c>
      <c r="H240">
        <v>15703.39</v>
      </c>
      <c r="I240">
        <v>15664.95</v>
      </c>
      <c r="J240" t="s">
        <v>15</v>
      </c>
      <c r="K240">
        <v>-10.98</v>
      </c>
      <c r="L240" s="9">
        <v>-1</v>
      </c>
      <c r="M240">
        <v>0</v>
      </c>
      <c r="N240">
        <v>0</v>
      </c>
    </row>
    <row r="241" spans="1:14" x14ac:dyDescent="0.2">
      <c r="A241" s="1">
        <v>45128</v>
      </c>
      <c r="B241">
        <v>5</v>
      </c>
      <c r="C241" t="s">
        <v>13</v>
      </c>
      <c r="D241" s="2">
        <v>0.40416666666666667</v>
      </c>
      <c r="E241">
        <v>15552.57</v>
      </c>
      <c r="F241" s="2">
        <v>0.40555555555555556</v>
      </c>
      <c r="G241">
        <v>15563.46</v>
      </c>
      <c r="H241">
        <v>15563.46</v>
      </c>
      <c r="I241">
        <v>15525.36</v>
      </c>
      <c r="J241" t="s">
        <v>15</v>
      </c>
      <c r="K241">
        <v>-10.89</v>
      </c>
      <c r="L241" s="9">
        <v>-1</v>
      </c>
      <c r="M241">
        <v>0</v>
      </c>
      <c r="N241">
        <v>2</v>
      </c>
    </row>
    <row r="242" spans="1:14" x14ac:dyDescent="0.2">
      <c r="A242" s="1">
        <v>45128</v>
      </c>
      <c r="B242">
        <v>5</v>
      </c>
      <c r="C242" t="s">
        <v>13</v>
      </c>
      <c r="D242" s="2">
        <v>0.4375</v>
      </c>
      <c r="E242">
        <v>15448.85</v>
      </c>
      <c r="F242" s="2">
        <v>0.43819444444444444</v>
      </c>
      <c r="G242">
        <v>15459.67</v>
      </c>
      <c r="H242">
        <v>15459.67</v>
      </c>
      <c r="I242">
        <v>15421.82</v>
      </c>
      <c r="J242" t="s">
        <v>15</v>
      </c>
      <c r="K242">
        <v>-10.81</v>
      </c>
      <c r="L242" s="9">
        <v>-1</v>
      </c>
      <c r="M242">
        <v>0</v>
      </c>
      <c r="N242">
        <v>3</v>
      </c>
    </row>
    <row r="243" spans="1:14" x14ac:dyDescent="0.2">
      <c r="A243" s="1">
        <v>45134</v>
      </c>
      <c r="B243">
        <v>4</v>
      </c>
      <c r="C243" t="s">
        <v>16</v>
      </c>
      <c r="D243" s="2">
        <v>0.40208333333333335</v>
      </c>
      <c r="E243">
        <v>15756.05</v>
      </c>
      <c r="F243" s="2">
        <v>0.40555555555555556</v>
      </c>
      <c r="G243">
        <v>15783.62</v>
      </c>
      <c r="H243">
        <v>15745.02</v>
      </c>
      <c r="I243">
        <v>15783.62</v>
      </c>
      <c r="J243" t="s">
        <v>14</v>
      </c>
      <c r="K243">
        <v>27.57</v>
      </c>
      <c r="L243" s="9">
        <v>2.5</v>
      </c>
      <c r="M243">
        <v>1</v>
      </c>
      <c r="N243">
        <v>0</v>
      </c>
    </row>
    <row r="244" spans="1:14" x14ac:dyDescent="0.2">
      <c r="A244" s="1">
        <v>45134</v>
      </c>
      <c r="B244">
        <v>4</v>
      </c>
      <c r="C244" t="s">
        <v>13</v>
      </c>
      <c r="D244" s="2">
        <v>0.42569444444444443</v>
      </c>
      <c r="E244">
        <v>15736.03</v>
      </c>
      <c r="F244" s="2">
        <v>0.43402777777777779</v>
      </c>
      <c r="G244">
        <v>15708.49</v>
      </c>
      <c r="H244">
        <v>15747.04</v>
      </c>
      <c r="I244">
        <v>15708.49</v>
      </c>
      <c r="J244" t="s">
        <v>14</v>
      </c>
      <c r="K244">
        <v>27.54</v>
      </c>
      <c r="L244" s="9">
        <v>2.5</v>
      </c>
      <c r="M244">
        <v>1</v>
      </c>
      <c r="N244">
        <v>2</v>
      </c>
    </row>
    <row r="245" spans="1:14" x14ac:dyDescent="0.2">
      <c r="A245" s="1">
        <v>45138</v>
      </c>
      <c r="B245">
        <v>1</v>
      </c>
      <c r="C245" t="s">
        <v>16</v>
      </c>
      <c r="D245" s="2">
        <v>0.40763888888888888</v>
      </c>
      <c r="E245">
        <v>15793.9</v>
      </c>
      <c r="F245" s="2">
        <v>0.40833333333333333</v>
      </c>
      <c r="G245">
        <v>15782.85</v>
      </c>
      <c r="H245">
        <v>15782.85</v>
      </c>
      <c r="I245">
        <v>15821.54</v>
      </c>
      <c r="J245" t="s">
        <v>15</v>
      </c>
      <c r="K245">
        <v>-11.06</v>
      </c>
      <c r="L245" s="9">
        <v>-1</v>
      </c>
      <c r="M245">
        <v>0</v>
      </c>
      <c r="N245">
        <v>0</v>
      </c>
    </row>
    <row r="246" spans="1:14" x14ac:dyDescent="0.2">
      <c r="A246" s="1">
        <v>45138</v>
      </c>
      <c r="B246">
        <v>1</v>
      </c>
      <c r="C246" t="s">
        <v>16</v>
      </c>
      <c r="D246" s="2">
        <v>0.45624999999999999</v>
      </c>
      <c r="E246">
        <v>15767.43</v>
      </c>
      <c r="F246" s="2">
        <v>0.47361111111111109</v>
      </c>
      <c r="G246">
        <v>15756.39</v>
      </c>
      <c r="H246">
        <v>15756.39</v>
      </c>
      <c r="I246">
        <v>15795.02</v>
      </c>
      <c r="J246" t="s">
        <v>15</v>
      </c>
      <c r="K246">
        <v>-11.04</v>
      </c>
      <c r="L246" s="9">
        <v>-1</v>
      </c>
      <c r="M246">
        <v>0</v>
      </c>
      <c r="N246">
        <v>2</v>
      </c>
    </row>
    <row r="247" spans="1:14" x14ac:dyDescent="0.2">
      <c r="A247" s="1">
        <v>45141</v>
      </c>
      <c r="B247">
        <v>4</v>
      </c>
      <c r="C247" t="s">
        <v>13</v>
      </c>
      <c r="D247" s="2">
        <v>0.39583333333333331</v>
      </c>
      <c r="E247">
        <v>15270.83</v>
      </c>
      <c r="F247" s="2">
        <v>0.39652777777777776</v>
      </c>
      <c r="G247">
        <v>15281.52</v>
      </c>
      <c r="H247">
        <v>15281.52</v>
      </c>
      <c r="I247">
        <v>15244.1</v>
      </c>
      <c r="J247" t="s">
        <v>15</v>
      </c>
      <c r="K247">
        <v>-10.69</v>
      </c>
      <c r="L247" s="9">
        <v>-1</v>
      </c>
      <c r="M247">
        <v>0</v>
      </c>
      <c r="N247">
        <v>3</v>
      </c>
    </row>
    <row r="248" spans="1:14" x14ac:dyDescent="0.2">
      <c r="A248" s="1">
        <v>45141</v>
      </c>
      <c r="B248">
        <v>4</v>
      </c>
      <c r="C248" t="s">
        <v>16</v>
      </c>
      <c r="D248" s="2">
        <v>0.40347222222222223</v>
      </c>
      <c r="E248">
        <v>15310.89</v>
      </c>
      <c r="F248" s="2">
        <v>0.40763888888888888</v>
      </c>
      <c r="G248">
        <v>15337.68</v>
      </c>
      <c r="H248">
        <v>15300.17</v>
      </c>
      <c r="I248">
        <v>15337.68</v>
      </c>
      <c r="J248" t="s">
        <v>14</v>
      </c>
      <c r="K248">
        <v>26.79</v>
      </c>
      <c r="L248" s="9">
        <v>2.5</v>
      </c>
      <c r="M248">
        <v>1</v>
      </c>
      <c r="N248">
        <v>0</v>
      </c>
    </row>
    <row r="249" spans="1:14" x14ac:dyDescent="0.2">
      <c r="A249" s="1">
        <v>45141</v>
      </c>
      <c r="B249">
        <v>4</v>
      </c>
      <c r="C249" t="s">
        <v>13</v>
      </c>
      <c r="D249" s="2">
        <v>0.43472222222222223</v>
      </c>
      <c r="E249">
        <v>15296.86</v>
      </c>
      <c r="F249" s="2">
        <v>0.43680555555555556</v>
      </c>
      <c r="G249">
        <v>15270.09</v>
      </c>
      <c r="H249">
        <v>15307.57</v>
      </c>
      <c r="I249">
        <v>15270.09</v>
      </c>
      <c r="J249" t="s">
        <v>14</v>
      </c>
      <c r="K249">
        <v>26.77</v>
      </c>
      <c r="L249" s="9">
        <v>2.5</v>
      </c>
      <c r="M249">
        <v>1</v>
      </c>
      <c r="N249">
        <v>2</v>
      </c>
    </row>
    <row r="250" spans="1:14" x14ac:dyDescent="0.2">
      <c r="A250" s="1">
        <v>45142</v>
      </c>
      <c r="B250">
        <v>5</v>
      </c>
      <c r="C250" t="s">
        <v>16</v>
      </c>
      <c r="D250" s="2">
        <v>0.40208333333333335</v>
      </c>
      <c r="E250">
        <v>15481.88</v>
      </c>
      <c r="F250" s="2">
        <v>0.40347222222222223</v>
      </c>
      <c r="G250">
        <v>15471.04</v>
      </c>
      <c r="H250">
        <v>15471.04</v>
      </c>
      <c r="I250">
        <v>15508.97</v>
      </c>
      <c r="J250" t="s">
        <v>15</v>
      </c>
      <c r="K250">
        <v>-10.84</v>
      </c>
      <c r="L250" s="9">
        <v>-1</v>
      </c>
      <c r="M250">
        <v>0</v>
      </c>
      <c r="N250">
        <v>0</v>
      </c>
    </row>
    <row r="251" spans="1:14" x14ac:dyDescent="0.2">
      <c r="A251" s="1">
        <v>45142</v>
      </c>
      <c r="B251">
        <v>5</v>
      </c>
      <c r="C251" t="s">
        <v>13</v>
      </c>
      <c r="D251" s="2">
        <v>0.41597222222222224</v>
      </c>
      <c r="E251">
        <v>15375.61</v>
      </c>
      <c r="F251" s="2">
        <v>0.41805555555555557</v>
      </c>
      <c r="G251">
        <v>15348.7</v>
      </c>
      <c r="H251">
        <v>15386.37</v>
      </c>
      <c r="I251">
        <v>15348.7</v>
      </c>
      <c r="J251" t="s">
        <v>14</v>
      </c>
      <c r="K251">
        <v>26.91</v>
      </c>
      <c r="L251" s="9">
        <v>2.5</v>
      </c>
      <c r="M251">
        <v>1</v>
      </c>
      <c r="N251">
        <v>0</v>
      </c>
    </row>
    <row r="252" spans="1:14" x14ac:dyDescent="0.2">
      <c r="A252" s="1">
        <v>45142</v>
      </c>
      <c r="B252">
        <v>5</v>
      </c>
      <c r="C252" t="s">
        <v>16</v>
      </c>
      <c r="D252" s="2">
        <v>0.44374999999999998</v>
      </c>
      <c r="E252">
        <v>15421.72</v>
      </c>
      <c r="F252" s="2">
        <v>0.44444444444444442</v>
      </c>
      <c r="G252">
        <v>15410.93</v>
      </c>
      <c r="H252">
        <v>15410.93</v>
      </c>
      <c r="I252">
        <v>15448.71</v>
      </c>
      <c r="J252" t="s">
        <v>15</v>
      </c>
      <c r="K252">
        <v>-10.8</v>
      </c>
      <c r="L252" s="9">
        <v>-1</v>
      </c>
      <c r="M252">
        <v>0</v>
      </c>
      <c r="N252">
        <v>0</v>
      </c>
    </row>
    <row r="253" spans="1:14" x14ac:dyDescent="0.2">
      <c r="A253" s="1">
        <v>45145</v>
      </c>
      <c r="B253">
        <v>1</v>
      </c>
      <c r="C253" t="s">
        <v>13</v>
      </c>
      <c r="D253" s="2">
        <v>0.40486111111111112</v>
      </c>
      <c r="E253">
        <v>15339.53</v>
      </c>
      <c r="F253" s="2">
        <v>0.40555555555555556</v>
      </c>
      <c r="G253">
        <v>15312.68</v>
      </c>
      <c r="H253">
        <v>15350.26</v>
      </c>
      <c r="I253">
        <v>15312.68</v>
      </c>
      <c r="J253" t="s">
        <v>14</v>
      </c>
      <c r="K253">
        <v>26.84</v>
      </c>
      <c r="L253" s="9">
        <v>2.5</v>
      </c>
      <c r="M253">
        <v>1</v>
      </c>
      <c r="N253">
        <v>0</v>
      </c>
    </row>
    <row r="254" spans="1:14" x14ac:dyDescent="0.2">
      <c r="A254" s="1">
        <v>45145</v>
      </c>
      <c r="B254">
        <v>1</v>
      </c>
      <c r="C254" t="s">
        <v>13</v>
      </c>
      <c r="D254" s="2">
        <v>0.45555555555555555</v>
      </c>
      <c r="E254">
        <v>15318.67</v>
      </c>
      <c r="F254" s="2">
        <v>0.46250000000000002</v>
      </c>
      <c r="G254">
        <v>15291.86</v>
      </c>
      <c r="H254">
        <v>15329.39</v>
      </c>
      <c r="I254">
        <v>15291.86</v>
      </c>
      <c r="J254" t="s">
        <v>14</v>
      </c>
      <c r="K254">
        <v>26.81</v>
      </c>
      <c r="L254" s="9">
        <v>2.5</v>
      </c>
      <c r="M254">
        <v>1</v>
      </c>
      <c r="N254">
        <v>2</v>
      </c>
    </row>
    <row r="255" spans="1:14" x14ac:dyDescent="0.2">
      <c r="A255" s="1">
        <v>45146</v>
      </c>
      <c r="B255">
        <v>2</v>
      </c>
      <c r="C255" t="s">
        <v>13</v>
      </c>
      <c r="D255" s="2">
        <v>0.41111111111111109</v>
      </c>
      <c r="E255">
        <v>15214.24</v>
      </c>
      <c r="F255" s="2">
        <v>0.4201388888888889</v>
      </c>
      <c r="G255">
        <v>15224.89</v>
      </c>
      <c r="H255">
        <v>15224.89</v>
      </c>
      <c r="I255">
        <v>15187.61</v>
      </c>
      <c r="J255" t="s">
        <v>15</v>
      </c>
      <c r="K255">
        <v>-10.65</v>
      </c>
      <c r="L255" s="9">
        <v>-1</v>
      </c>
      <c r="M255">
        <v>0</v>
      </c>
      <c r="N255">
        <v>0</v>
      </c>
    </row>
    <row r="256" spans="1:14" x14ac:dyDescent="0.2">
      <c r="A256" s="1">
        <v>45147</v>
      </c>
      <c r="B256">
        <v>3</v>
      </c>
      <c r="C256" t="s">
        <v>13</v>
      </c>
      <c r="D256" s="2">
        <v>0.39791666666666664</v>
      </c>
      <c r="E256">
        <v>15277.5</v>
      </c>
      <c r="F256" s="2">
        <v>0.39861111111111114</v>
      </c>
      <c r="G256">
        <v>15288.2</v>
      </c>
      <c r="H256">
        <v>15288.2</v>
      </c>
      <c r="I256">
        <v>15250.77</v>
      </c>
      <c r="J256" t="s">
        <v>15</v>
      </c>
      <c r="K256">
        <v>-10.69</v>
      </c>
      <c r="L256" s="9">
        <v>-1</v>
      </c>
      <c r="M256">
        <v>0</v>
      </c>
      <c r="N256">
        <v>2</v>
      </c>
    </row>
    <row r="257" spans="1:14" x14ac:dyDescent="0.2">
      <c r="A257" s="1">
        <v>45147</v>
      </c>
      <c r="B257">
        <v>3</v>
      </c>
      <c r="C257" t="s">
        <v>13</v>
      </c>
      <c r="D257" s="2">
        <v>0.4465277777777778</v>
      </c>
      <c r="E257">
        <v>15192.56</v>
      </c>
      <c r="F257" s="2">
        <v>0.45208333333333334</v>
      </c>
      <c r="G257">
        <v>15165.97</v>
      </c>
      <c r="H257">
        <v>15203.19</v>
      </c>
      <c r="I257">
        <v>15165.97</v>
      </c>
      <c r="J257" t="s">
        <v>14</v>
      </c>
      <c r="K257">
        <v>26.59</v>
      </c>
      <c r="L257" s="9">
        <v>2.5</v>
      </c>
      <c r="M257">
        <v>1</v>
      </c>
      <c r="N257">
        <v>0</v>
      </c>
    </row>
    <row r="258" spans="1:14" x14ac:dyDescent="0.2">
      <c r="A258" s="1">
        <v>45148</v>
      </c>
      <c r="B258">
        <v>4</v>
      </c>
      <c r="C258" t="s">
        <v>16</v>
      </c>
      <c r="D258" s="2">
        <v>0.40972222222222221</v>
      </c>
      <c r="E258">
        <v>15297.28</v>
      </c>
      <c r="F258" s="2">
        <v>0.41319444444444442</v>
      </c>
      <c r="G258">
        <v>15324.05</v>
      </c>
      <c r="H258">
        <v>15286.57</v>
      </c>
      <c r="I258">
        <v>15324.05</v>
      </c>
      <c r="J258" t="s">
        <v>14</v>
      </c>
      <c r="K258">
        <v>26.77</v>
      </c>
      <c r="L258" s="9">
        <v>2.5</v>
      </c>
      <c r="M258">
        <v>1</v>
      </c>
      <c r="N258">
        <v>2</v>
      </c>
    </row>
    <row r="259" spans="1:14" x14ac:dyDescent="0.2">
      <c r="A259" s="1">
        <v>45148</v>
      </c>
      <c r="B259">
        <v>4</v>
      </c>
      <c r="C259" t="s">
        <v>13</v>
      </c>
      <c r="D259" s="2">
        <v>0.4465277777777778</v>
      </c>
      <c r="E259">
        <v>15292.08</v>
      </c>
      <c r="F259" s="2">
        <v>0.44791666666666669</v>
      </c>
      <c r="G259">
        <v>15265.32</v>
      </c>
      <c r="H259">
        <v>15302.78</v>
      </c>
      <c r="I259">
        <v>15265.32</v>
      </c>
      <c r="J259" t="s">
        <v>14</v>
      </c>
      <c r="K259">
        <v>26.76</v>
      </c>
      <c r="L259" s="9">
        <v>2.5</v>
      </c>
      <c r="M259">
        <v>1</v>
      </c>
      <c r="N259">
        <v>3</v>
      </c>
    </row>
    <row r="260" spans="1:14" x14ac:dyDescent="0.2">
      <c r="A260" s="1">
        <v>45149</v>
      </c>
      <c r="B260">
        <v>5</v>
      </c>
      <c r="C260" t="s">
        <v>16</v>
      </c>
      <c r="D260" s="2">
        <v>0.42916666666666664</v>
      </c>
      <c r="E260">
        <v>15068.18</v>
      </c>
      <c r="F260" s="2">
        <v>0.43055555555555558</v>
      </c>
      <c r="G260">
        <v>15094.55</v>
      </c>
      <c r="H260">
        <v>15057.63</v>
      </c>
      <c r="I260">
        <v>15094.55</v>
      </c>
      <c r="J260" t="s">
        <v>14</v>
      </c>
      <c r="K260">
        <v>26.37</v>
      </c>
      <c r="L260" s="9">
        <v>2.5</v>
      </c>
      <c r="M260">
        <v>1</v>
      </c>
      <c r="N260">
        <v>4</v>
      </c>
    </row>
    <row r="261" spans="1:14" x14ac:dyDescent="0.2">
      <c r="A261" s="1">
        <v>45149</v>
      </c>
      <c r="B261">
        <v>5</v>
      </c>
      <c r="C261" t="s">
        <v>13</v>
      </c>
      <c r="D261" s="2">
        <v>0.4548611111111111</v>
      </c>
      <c r="E261">
        <v>15036.1</v>
      </c>
      <c r="F261" s="2">
        <v>0.46527777777777779</v>
      </c>
      <c r="G261">
        <v>15009.78</v>
      </c>
      <c r="H261">
        <v>15046.62</v>
      </c>
      <c r="I261">
        <v>15009.78</v>
      </c>
      <c r="J261" t="s">
        <v>14</v>
      </c>
      <c r="K261">
        <v>26.31</v>
      </c>
      <c r="L261" s="9">
        <v>2.5</v>
      </c>
      <c r="M261">
        <v>1</v>
      </c>
      <c r="N261">
        <v>5</v>
      </c>
    </row>
    <row r="262" spans="1:14" x14ac:dyDescent="0.2">
      <c r="A262" s="1">
        <v>45152</v>
      </c>
      <c r="B262">
        <v>1</v>
      </c>
      <c r="C262" t="s">
        <v>16</v>
      </c>
      <c r="D262" s="2">
        <v>0.40763888888888888</v>
      </c>
      <c r="E262">
        <v>15034.4</v>
      </c>
      <c r="F262" s="2">
        <v>0.40833333333333333</v>
      </c>
      <c r="G262">
        <v>15023.88</v>
      </c>
      <c r="H262">
        <v>15023.88</v>
      </c>
      <c r="I262">
        <v>15060.72</v>
      </c>
      <c r="J262" t="s">
        <v>15</v>
      </c>
      <c r="K262">
        <v>-10.52</v>
      </c>
      <c r="L262" s="9">
        <v>-1</v>
      </c>
      <c r="M262">
        <v>0</v>
      </c>
      <c r="N262">
        <v>0</v>
      </c>
    </row>
    <row r="263" spans="1:14" x14ac:dyDescent="0.2">
      <c r="A263" s="1">
        <v>45153</v>
      </c>
      <c r="B263">
        <v>2</v>
      </c>
      <c r="C263" t="s">
        <v>13</v>
      </c>
      <c r="D263" s="2">
        <v>0.40763888888888888</v>
      </c>
      <c r="E263">
        <v>15126.36</v>
      </c>
      <c r="F263" s="2">
        <v>0.40902777777777777</v>
      </c>
      <c r="G263">
        <v>15136.95</v>
      </c>
      <c r="H263">
        <v>15136.95</v>
      </c>
      <c r="I263">
        <v>15099.89</v>
      </c>
      <c r="J263" t="s">
        <v>15</v>
      </c>
      <c r="K263">
        <v>-10.59</v>
      </c>
      <c r="L263" s="9">
        <v>-1</v>
      </c>
      <c r="M263">
        <v>0</v>
      </c>
      <c r="N263">
        <v>2</v>
      </c>
    </row>
    <row r="264" spans="1:14" x14ac:dyDescent="0.2">
      <c r="A264" s="1">
        <v>45153</v>
      </c>
      <c r="B264">
        <v>2</v>
      </c>
      <c r="C264" t="s">
        <v>13</v>
      </c>
      <c r="D264" s="2">
        <v>0.4152777777777778</v>
      </c>
      <c r="E264">
        <v>15123.72</v>
      </c>
      <c r="F264" s="2">
        <v>0.41736111111111113</v>
      </c>
      <c r="G264">
        <v>15097.25</v>
      </c>
      <c r="H264">
        <v>15134.3</v>
      </c>
      <c r="I264">
        <v>15097.25</v>
      </c>
      <c r="J264" t="s">
        <v>14</v>
      </c>
      <c r="K264">
        <v>26.47</v>
      </c>
      <c r="L264" s="9">
        <v>2.5</v>
      </c>
      <c r="M264">
        <v>1</v>
      </c>
      <c r="N264">
        <v>0</v>
      </c>
    </row>
    <row r="265" spans="1:14" x14ac:dyDescent="0.2">
      <c r="A265" s="1">
        <v>45153</v>
      </c>
      <c r="B265">
        <v>2</v>
      </c>
      <c r="C265" t="s">
        <v>13</v>
      </c>
      <c r="D265" s="2">
        <v>0.43958333333333333</v>
      </c>
      <c r="E265">
        <v>15051.97</v>
      </c>
      <c r="F265" s="2">
        <v>0.44374999999999998</v>
      </c>
      <c r="G265">
        <v>15062.5</v>
      </c>
      <c r="H265">
        <v>15062.5</v>
      </c>
      <c r="I265">
        <v>15025.63</v>
      </c>
      <c r="J265" t="s">
        <v>15</v>
      </c>
      <c r="K265">
        <v>-10.54</v>
      </c>
      <c r="L265" s="9">
        <v>-1</v>
      </c>
      <c r="M265">
        <v>0</v>
      </c>
      <c r="N265">
        <v>0</v>
      </c>
    </row>
    <row r="266" spans="1:14" x14ac:dyDescent="0.2">
      <c r="A266" s="1">
        <v>45154</v>
      </c>
      <c r="B266">
        <v>3</v>
      </c>
      <c r="C266" t="s">
        <v>13</v>
      </c>
      <c r="D266" s="2">
        <v>0.39930555555555558</v>
      </c>
      <c r="E266">
        <v>14995.11</v>
      </c>
      <c r="F266" s="2">
        <v>0.4</v>
      </c>
      <c r="G266">
        <v>15005.6</v>
      </c>
      <c r="H266">
        <v>15005.6</v>
      </c>
      <c r="I266">
        <v>14968.87</v>
      </c>
      <c r="J266" t="s">
        <v>15</v>
      </c>
      <c r="K266">
        <v>-10.5</v>
      </c>
      <c r="L266" s="9">
        <v>-1</v>
      </c>
      <c r="M266">
        <v>0</v>
      </c>
      <c r="N266">
        <v>2</v>
      </c>
    </row>
    <row r="267" spans="1:14" x14ac:dyDescent="0.2">
      <c r="A267" s="1">
        <v>45154</v>
      </c>
      <c r="B267">
        <v>3</v>
      </c>
      <c r="C267" t="s">
        <v>16</v>
      </c>
      <c r="D267" s="2">
        <v>0.40972222222222221</v>
      </c>
      <c r="E267">
        <v>15050.28</v>
      </c>
      <c r="F267" s="2">
        <v>0.41041666666666665</v>
      </c>
      <c r="G267">
        <v>15039.75</v>
      </c>
      <c r="H267">
        <v>15039.75</v>
      </c>
      <c r="I267">
        <v>15076.62</v>
      </c>
      <c r="J267" t="s">
        <v>15</v>
      </c>
      <c r="K267">
        <v>-10.54</v>
      </c>
      <c r="L267" s="9">
        <v>-1</v>
      </c>
      <c r="M267">
        <v>0</v>
      </c>
      <c r="N267">
        <v>3</v>
      </c>
    </row>
    <row r="268" spans="1:14" x14ac:dyDescent="0.2">
      <c r="A268" s="1">
        <v>45154</v>
      </c>
      <c r="B268">
        <v>3</v>
      </c>
      <c r="C268" t="s">
        <v>13</v>
      </c>
      <c r="D268" s="2">
        <v>0.41875000000000001</v>
      </c>
      <c r="E268">
        <v>15014.81</v>
      </c>
      <c r="F268" s="2">
        <v>0.4201388888888889</v>
      </c>
      <c r="G268">
        <v>15025.32</v>
      </c>
      <c r="H268">
        <v>15025.32</v>
      </c>
      <c r="I268">
        <v>14988.54</v>
      </c>
      <c r="J268" t="s">
        <v>15</v>
      </c>
      <c r="K268">
        <v>-10.51</v>
      </c>
      <c r="L268" s="9">
        <v>-1</v>
      </c>
      <c r="M268">
        <v>0</v>
      </c>
      <c r="N268">
        <v>4</v>
      </c>
    </row>
    <row r="269" spans="1:14" x14ac:dyDescent="0.2">
      <c r="A269" s="1">
        <v>45155</v>
      </c>
      <c r="B269">
        <v>4</v>
      </c>
      <c r="C269" t="s">
        <v>13</v>
      </c>
      <c r="D269" s="2">
        <v>0.39930555555555558</v>
      </c>
      <c r="E269">
        <v>14907.72</v>
      </c>
      <c r="F269" s="2">
        <v>0.40625</v>
      </c>
      <c r="G269">
        <v>14881.63</v>
      </c>
      <c r="H269">
        <v>14918.15</v>
      </c>
      <c r="I269">
        <v>14881.63</v>
      </c>
      <c r="J269" t="s">
        <v>14</v>
      </c>
      <c r="K269">
        <v>26.09</v>
      </c>
      <c r="L269" s="9">
        <v>2.5</v>
      </c>
      <c r="M269">
        <v>1</v>
      </c>
      <c r="N269">
        <v>0</v>
      </c>
    </row>
    <row r="270" spans="1:14" x14ac:dyDescent="0.2">
      <c r="A270" s="1">
        <v>45155</v>
      </c>
      <c r="B270">
        <v>4</v>
      </c>
      <c r="C270" t="s">
        <v>13</v>
      </c>
      <c r="D270" s="2">
        <v>0.42499999999999999</v>
      </c>
      <c r="E270">
        <v>14850.3</v>
      </c>
      <c r="F270" s="2">
        <v>0.42777777777777776</v>
      </c>
      <c r="G270">
        <v>14860.69</v>
      </c>
      <c r="H270">
        <v>14860.69</v>
      </c>
      <c r="I270">
        <v>14824.31</v>
      </c>
      <c r="J270" t="s">
        <v>15</v>
      </c>
      <c r="K270">
        <v>-10.4</v>
      </c>
      <c r="L270" s="9">
        <v>-1</v>
      </c>
      <c r="M270">
        <v>0</v>
      </c>
      <c r="N270">
        <v>0</v>
      </c>
    </row>
    <row r="271" spans="1:14" x14ac:dyDescent="0.2">
      <c r="A271" s="1">
        <v>45155</v>
      </c>
      <c r="B271">
        <v>4</v>
      </c>
      <c r="C271" t="s">
        <v>13</v>
      </c>
      <c r="D271" s="2">
        <v>0.43611111111111112</v>
      </c>
      <c r="E271">
        <v>14830.39</v>
      </c>
      <c r="F271" s="2">
        <v>0.4375</v>
      </c>
      <c r="G271">
        <v>14840.77</v>
      </c>
      <c r="H271">
        <v>14840.77</v>
      </c>
      <c r="I271">
        <v>14804.44</v>
      </c>
      <c r="J271" t="s">
        <v>15</v>
      </c>
      <c r="K271">
        <v>-10.38</v>
      </c>
      <c r="L271" s="9">
        <v>-1</v>
      </c>
      <c r="M271">
        <v>0</v>
      </c>
      <c r="N271">
        <v>2</v>
      </c>
    </row>
    <row r="272" spans="1:14" x14ac:dyDescent="0.2">
      <c r="A272" s="1">
        <v>45156</v>
      </c>
      <c r="B272">
        <v>5</v>
      </c>
      <c r="C272" t="s">
        <v>16</v>
      </c>
      <c r="D272" s="2">
        <v>0.41111111111111109</v>
      </c>
      <c r="E272">
        <v>14617.24</v>
      </c>
      <c r="F272" s="2">
        <v>0.41180555555555554</v>
      </c>
      <c r="G272">
        <v>14607.01</v>
      </c>
      <c r="H272">
        <v>14607.01</v>
      </c>
      <c r="I272">
        <v>14642.82</v>
      </c>
      <c r="J272" t="s">
        <v>15</v>
      </c>
      <c r="K272">
        <v>-10.23</v>
      </c>
      <c r="L272" s="9">
        <v>-1</v>
      </c>
      <c r="M272">
        <v>0</v>
      </c>
      <c r="N272">
        <v>3</v>
      </c>
    </row>
    <row r="273" spans="1:14" x14ac:dyDescent="0.2">
      <c r="A273" s="1">
        <v>45156</v>
      </c>
      <c r="B273">
        <v>5</v>
      </c>
      <c r="C273" t="s">
        <v>16</v>
      </c>
      <c r="D273" s="2">
        <v>0.44513888888888886</v>
      </c>
      <c r="E273">
        <v>14630.55</v>
      </c>
      <c r="F273" s="2">
        <v>0.44861111111111113</v>
      </c>
      <c r="G273">
        <v>14620.31</v>
      </c>
      <c r="H273">
        <v>14620.31</v>
      </c>
      <c r="I273">
        <v>14656.16</v>
      </c>
      <c r="J273" t="s">
        <v>15</v>
      </c>
      <c r="K273">
        <v>-10.24</v>
      </c>
      <c r="L273" s="9">
        <v>-1</v>
      </c>
      <c r="M273">
        <v>0</v>
      </c>
      <c r="N273">
        <v>4</v>
      </c>
    </row>
    <row r="274" spans="1:14" x14ac:dyDescent="0.2">
      <c r="A274" s="1">
        <v>45159</v>
      </c>
      <c r="B274">
        <v>1</v>
      </c>
      <c r="C274" t="s">
        <v>16</v>
      </c>
      <c r="D274" s="2">
        <v>0.40347222222222223</v>
      </c>
      <c r="E274">
        <v>14814.89</v>
      </c>
      <c r="F274" s="2">
        <v>0.40625</v>
      </c>
      <c r="G274">
        <v>14804.52</v>
      </c>
      <c r="H274">
        <v>14804.52</v>
      </c>
      <c r="I274">
        <v>14840.82</v>
      </c>
      <c r="J274" t="s">
        <v>15</v>
      </c>
      <c r="K274">
        <v>-10.37</v>
      </c>
      <c r="L274" s="9">
        <v>-1</v>
      </c>
      <c r="M274">
        <v>0</v>
      </c>
      <c r="N274">
        <v>5</v>
      </c>
    </row>
    <row r="275" spans="1:14" x14ac:dyDescent="0.2">
      <c r="A275" s="1">
        <v>45159</v>
      </c>
      <c r="B275">
        <v>1</v>
      </c>
      <c r="C275" t="s">
        <v>13</v>
      </c>
      <c r="D275" s="2">
        <v>0.4375</v>
      </c>
      <c r="E275">
        <v>14785.47</v>
      </c>
      <c r="F275" s="2">
        <v>0.44097222222222221</v>
      </c>
      <c r="G275">
        <v>14795.82</v>
      </c>
      <c r="H275">
        <v>14795.82</v>
      </c>
      <c r="I275">
        <v>14759.6</v>
      </c>
      <c r="J275" t="s">
        <v>15</v>
      </c>
      <c r="K275">
        <v>-10.35</v>
      </c>
      <c r="L275" s="9">
        <v>-1</v>
      </c>
      <c r="M275">
        <v>0</v>
      </c>
      <c r="N275">
        <v>6</v>
      </c>
    </row>
    <row r="276" spans="1:14" x14ac:dyDescent="0.2">
      <c r="A276" s="1">
        <v>45159</v>
      </c>
      <c r="B276">
        <v>1</v>
      </c>
      <c r="C276" t="s">
        <v>13</v>
      </c>
      <c r="D276" s="2">
        <v>0.45624999999999999</v>
      </c>
      <c r="E276">
        <v>14788.24</v>
      </c>
      <c r="F276" s="2">
        <v>0.4597222222222222</v>
      </c>
      <c r="G276">
        <v>14798.59</v>
      </c>
      <c r="H276">
        <v>14798.59</v>
      </c>
      <c r="I276">
        <v>14762.36</v>
      </c>
      <c r="J276" t="s">
        <v>15</v>
      </c>
      <c r="K276">
        <v>-10.35</v>
      </c>
      <c r="L276" s="9">
        <v>-1</v>
      </c>
      <c r="M276">
        <v>0</v>
      </c>
      <c r="N276">
        <v>7</v>
      </c>
    </row>
    <row r="277" spans="1:14" x14ac:dyDescent="0.2">
      <c r="A277" s="1">
        <v>45160</v>
      </c>
      <c r="B277">
        <v>2</v>
      </c>
      <c r="C277" t="s">
        <v>13</v>
      </c>
      <c r="D277" s="2">
        <v>0.40486111111111112</v>
      </c>
      <c r="E277">
        <v>14981.72</v>
      </c>
      <c r="F277" s="2">
        <v>0.40555555555555556</v>
      </c>
      <c r="G277">
        <v>14992.21</v>
      </c>
      <c r="H277">
        <v>14992.21</v>
      </c>
      <c r="I277">
        <v>14955.5</v>
      </c>
      <c r="J277" t="s">
        <v>15</v>
      </c>
      <c r="K277">
        <v>-10.49</v>
      </c>
      <c r="L277" s="9">
        <v>-1</v>
      </c>
      <c r="M277">
        <v>0</v>
      </c>
      <c r="N277">
        <v>8</v>
      </c>
    </row>
    <row r="278" spans="1:14" x14ac:dyDescent="0.2">
      <c r="A278" s="1">
        <v>45160</v>
      </c>
      <c r="B278">
        <v>2</v>
      </c>
      <c r="C278" t="s">
        <v>13</v>
      </c>
      <c r="D278" s="2">
        <v>0.44166666666666665</v>
      </c>
      <c r="E278">
        <v>14931.27</v>
      </c>
      <c r="F278" s="2">
        <v>0.44236111111111109</v>
      </c>
      <c r="G278">
        <v>14941.72</v>
      </c>
      <c r="H278">
        <v>14941.72</v>
      </c>
      <c r="I278">
        <v>14905.14</v>
      </c>
      <c r="J278" t="s">
        <v>15</v>
      </c>
      <c r="K278">
        <v>-10.45</v>
      </c>
      <c r="L278" s="9">
        <v>-1</v>
      </c>
      <c r="M278">
        <v>0</v>
      </c>
      <c r="N278">
        <v>9</v>
      </c>
    </row>
    <row r="279" spans="1:14" x14ac:dyDescent="0.2">
      <c r="A279" s="1">
        <v>45162</v>
      </c>
      <c r="B279">
        <v>4</v>
      </c>
      <c r="C279" t="s">
        <v>13</v>
      </c>
      <c r="D279" s="2">
        <v>0.40277777777777779</v>
      </c>
      <c r="E279">
        <v>15197.41</v>
      </c>
      <c r="F279" s="2">
        <v>0.40416666666666667</v>
      </c>
      <c r="G279">
        <v>15170.82</v>
      </c>
      <c r="H279">
        <v>15208.05</v>
      </c>
      <c r="I279">
        <v>15170.82</v>
      </c>
      <c r="J279" t="s">
        <v>14</v>
      </c>
      <c r="K279">
        <v>26.6</v>
      </c>
      <c r="L279" s="9">
        <v>2.5</v>
      </c>
      <c r="M279">
        <v>1</v>
      </c>
      <c r="N279">
        <v>0</v>
      </c>
    </row>
    <row r="280" spans="1:14" x14ac:dyDescent="0.2">
      <c r="A280" s="1">
        <v>45162</v>
      </c>
      <c r="B280">
        <v>4</v>
      </c>
      <c r="C280" t="s">
        <v>13</v>
      </c>
      <c r="D280" s="2">
        <v>0.42569444444444443</v>
      </c>
      <c r="E280">
        <v>15111.56</v>
      </c>
      <c r="F280" s="2">
        <v>0.42708333333333331</v>
      </c>
      <c r="G280">
        <v>15085.11</v>
      </c>
      <c r="H280">
        <v>15122.13</v>
      </c>
      <c r="I280">
        <v>15085.11</v>
      </c>
      <c r="J280" t="s">
        <v>14</v>
      </c>
      <c r="K280">
        <v>26.45</v>
      </c>
      <c r="L280" s="9">
        <v>2.5</v>
      </c>
      <c r="M280">
        <v>1</v>
      </c>
      <c r="N280">
        <v>2</v>
      </c>
    </row>
    <row r="281" spans="1:14" x14ac:dyDescent="0.2">
      <c r="A281" s="1">
        <v>45166</v>
      </c>
      <c r="B281">
        <v>1</v>
      </c>
      <c r="C281" t="s">
        <v>13</v>
      </c>
      <c r="D281" s="2">
        <v>0.41249999999999998</v>
      </c>
      <c r="E281">
        <v>14992.57</v>
      </c>
      <c r="F281" s="2">
        <v>0.41319444444444442</v>
      </c>
      <c r="G281">
        <v>15003.07</v>
      </c>
      <c r="H281">
        <v>15003.07</v>
      </c>
      <c r="I281">
        <v>14966.34</v>
      </c>
      <c r="J281" t="s">
        <v>15</v>
      </c>
      <c r="K281">
        <v>-10.49</v>
      </c>
      <c r="L281" s="9">
        <v>-1</v>
      </c>
      <c r="M281">
        <v>0</v>
      </c>
      <c r="N281">
        <v>0</v>
      </c>
    </row>
    <row r="282" spans="1:14" x14ac:dyDescent="0.2">
      <c r="A282" s="1">
        <v>45166</v>
      </c>
      <c r="B282">
        <v>1</v>
      </c>
      <c r="C282" t="s">
        <v>16</v>
      </c>
      <c r="D282" s="2">
        <v>0.4375</v>
      </c>
      <c r="E282">
        <v>15047.77</v>
      </c>
      <c r="F282" s="2">
        <v>0.44305555555555554</v>
      </c>
      <c r="G282">
        <v>15037.23</v>
      </c>
      <c r="H282">
        <v>15037.23</v>
      </c>
      <c r="I282">
        <v>15074.1</v>
      </c>
      <c r="J282" t="s">
        <v>15</v>
      </c>
      <c r="K282">
        <v>-10.53</v>
      </c>
      <c r="L282" s="9">
        <v>-1</v>
      </c>
      <c r="M282">
        <v>0</v>
      </c>
      <c r="N282">
        <v>2</v>
      </c>
    </row>
    <row r="283" spans="1:14" x14ac:dyDescent="0.2">
      <c r="A283" s="1">
        <v>45166</v>
      </c>
      <c r="B283">
        <v>1</v>
      </c>
      <c r="C283" t="s">
        <v>13</v>
      </c>
      <c r="D283" s="2">
        <v>0.45347222222222222</v>
      </c>
      <c r="E283">
        <v>14984.15</v>
      </c>
      <c r="F283" s="2">
        <v>0.45833333333333331</v>
      </c>
      <c r="G283">
        <v>14994.64</v>
      </c>
      <c r="H283">
        <v>14994.64</v>
      </c>
      <c r="I283">
        <v>14957.93</v>
      </c>
      <c r="J283" t="s">
        <v>15</v>
      </c>
      <c r="K283">
        <v>-10.49</v>
      </c>
      <c r="L283" s="9">
        <v>-1</v>
      </c>
      <c r="M283">
        <v>0</v>
      </c>
      <c r="N283">
        <v>3</v>
      </c>
    </row>
    <row r="284" spans="1:14" x14ac:dyDescent="0.2">
      <c r="A284" s="1">
        <v>45168</v>
      </c>
      <c r="B284">
        <v>3</v>
      </c>
      <c r="C284" t="s">
        <v>16</v>
      </c>
      <c r="D284" s="2">
        <v>0.41597222222222224</v>
      </c>
      <c r="E284">
        <v>15422.72</v>
      </c>
      <c r="F284" s="2">
        <v>0.4236111111111111</v>
      </c>
      <c r="G284">
        <v>15449.71</v>
      </c>
      <c r="H284">
        <v>15411.92</v>
      </c>
      <c r="I284">
        <v>15449.71</v>
      </c>
      <c r="J284" t="s">
        <v>14</v>
      </c>
      <c r="K284">
        <v>26.99</v>
      </c>
      <c r="L284" s="9">
        <v>2.5</v>
      </c>
      <c r="M284">
        <v>1</v>
      </c>
      <c r="N284">
        <v>0</v>
      </c>
    </row>
    <row r="285" spans="1:14" x14ac:dyDescent="0.2">
      <c r="A285" s="1">
        <v>45169</v>
      </c>
      <c r="B285">
        <v>4</v>
      </c>
      <c r="C285" t="s">
        <v>16</v>
      </c>
      <c r="D285" s="2">
        <v>0.41388888888888886</v>
      </c>
      <c r="E285">
        <v>15504.07</v>
      </c>
      <c r="F285" s="2">
        <v>0.41666666666666669</v>
      </c>
      <c r="G285">
        <v>15531.2</v>
      </c>
      <c r="H285">
        <v>15493.21</v>
      </c>
      <c r="I285">
        <v>15531.2</v>
      </c>
      <c r="J285" t="s">
        <v>14</v>
      </c>
      <c r="K285">
        <v>27.13</v>
      </c>
      <c r="L285" s="9">
        <v>2.5</v>
      </c>
      <c r="M285">
        <v>1</v>
      </c>
      <c r="N285">
        <v>2</v>
      </c>
    </row>
    <row r="286" spans="1:14" x14ac:dyDescent="0.2">
      <c r="A286" s="1">
        <v>45173</v>
      </c>
      <c r="B286">
        <v>1</v>
      </c>
      <c r="C286" t="s">
        <v>16</v>
      </c>
      <c r="D286" s="2">
        <v>0.39583333333333331</v>
      </c>
      <c r="E286">
        <v>15530.66</v>
      </c>
      <c r="F286" s="2">
        <v>0.43819444444444444</v>
      </c>
      <c r="G286">
        <v>15519.79</v>
      </c>
      <c r="H286">
        <v>15519.79</v>
      </c>
      <c r="I286">
        <v>15557.84</v>
      </c>
      <c r="J286" t="s">
        <v>15</v>
      </c>
      <c r="K286">
        <v>-10.87</v>
      </c>
      <c r="L286" s="9">
        <v>-1</v>
      </c>
      <c r="M286">
        <v>0</v>
      </c>
      <c r="N286">
        <v>0</v>
      </c>
    </row>
    <row r="287" spans="1:14" x14ac:dyDescent="0.2">
      <c r="A287" s="1">
        <v>45173</v>
      </c>
      <c r="B287">
        <v>1</v>
      </c>
      <c r="C287" t="s">
        <v>13</v>
      </c>
      <c r="D287" s="2">
        <v>0.44097222222222221</v>
      </c>
      <c r="E287">
        <v>15518.27</v>
      </c>
      <c r="F287" s="2">
        <v>0.46319444444444446</v>
      </c>
      <c r="G287">
        <v>15491.11</v>
      </c>
      <c r="H287">
        <v>15529.13</v>
      </c>
      <c r="I287">
        <v>15491.11</v>
      </c>
      <c r="J287" t="s">
        <v>14</v>
      </c>
      <c r="K287">
        <v>27.16</v>
      </c>
      <c r="L287" s="9">
        <v>2.5</v>
      </c>
      <c r="M287">
        <v>1</v>
      </c>
      <c r="N287">
        <v>0</v>
      </c>
    </row>
    <row r="288" spans="1:14" x14ac:dyDescent="0.2">
      <c r="A288" s="1">
        <v>45174</v>
      </c>
      <c r="B288">
        <v>2</v>
      </c>
      <c r="C288" t="s">
        <v>16</v>
      </c>
      <c r="D288" s="2">
        <v>0.40416666666666667</v>
      </c>
      <c r="E288">
        <v>15464.67</v>
      </c>
      <c r="F288" s="2">
        <v>0.40555555555555556</v>
      </c>
      <c r="G288">
        <v>15453.85</v>
      </c>
      <c r="H288">
        <v>15453.85</v>
      </c>
      <c r="I288">
        <v>15491.74</v>
      </c>
      <c r="J288" t="s">
        <v>15</v>
      </c>
      <c r="K288">
        <v>-10.83</v>
      </c>
      <c r="L288" s="9">
        <v>-1</v>
      </c>
      <c r="M288">
        <v>0</v>
      </c>
      <c r="N288">
        <v>0</v>
      </c>
    </row>
    <row r="289" spans="1:14" x14ac:dyDescent="0.2">
      <c r="A289" s="1">
        <v>45174</v>
      </c>
      <c r="B289">
        <v>2</v>
      </c>
      <c r="C289" t="s">
        <v>16</v>
      </c>
      <c r="D289" s="2">
        <v>0.43472222222222223</v>
      </c>
      <c r="E289">
        <v>15476.38</v>
      </c>
      <c r="F289" s="2">
        <v>0.43541666666666667</v>
      </c>
      <c r="G289">
        <v>15465.55</v>
      </c>
      <c r="H289">
        <v>15465.55</v>
      </c>
      <c r="I289">
        <v>15503.46</v>
      </c>
      <c r="J289" t="s">
        <v>15</v>
      </c>
      <c r="K289">
        <v>-10.83</v>
      </c>
      <c r="L289" s="9">
        <v>-1</v>
      </c>
      <c r="M289">
        <v>0</v>
      </c>
      <c r="N289">
        <v>2</v>
      </c>
    </row>
    <row r="290" spans="1:14" x14ac:dyDescent="0.2">
      <c r="A290" s="1">
        <v>45174</v>
      </c>
      <c r="B290">
        <v>2</v>
      </c>
      <c r="C290" t="s">
        <v>16</v>
      </c>
      <c r="D290" s="2">
        <v>0.4548611111111111</v>
      </c>
      <c r="E290">
        <v>15498.91</v>
      </c>
      <c r="F290" s="2">
        <v>0.46111111111111114</v>
      </c>
      <c r="G290">
        <v>15526.03</v>
      </c>
      <c r="H290">
        <v>15488.06</v>
      </c>
      <c r="I290">
        <v>15526.03</v>
      </c>
      <c r="J290" t="s">
        <v>14</v>
      </c>
      <c r="K290">
        <v>27.12</v>
      </c>
      <c r="L290" s="9">
        <v>2.5</v>
      </c>
      <c r="M290">
        <v>1</v>
      </c>
      <c r="N290">
        <v>0</v>
      </c>
    </row>
    <row r="291" spans="1:14" x14ac:dyDescent="0.2">
      <c r="A291" s="1">
        <v>45175</v>
      </c>
      <c r="B291">
        <v>3</v>
      </c>
      <c r="C291" t="s">
        <v>13</v>
      </c>
      <c r="D291" s="2">
        <v>0.42222222222222222</v>
      </c>
      <c r="E291">
        <v>15389.58</v>
      </c>
      <c r="F291" s="2">
        <v>0.42569444444444443</v>
      </c>
      <c r="G291">
        <v>15362.65</v>
      </c>
      <c r="H291">
        <v>15400.35</v>
      </c>
      <c r="I291">
        <v>15362.65</v>
      </c>
      <c r="J291" t="s">
        <v>14</v>
      </c>
      <c r="K291">
        <v>26.93</v>
      </c>
      <c r="L291" s="9">
        <v>2.5</v>
      </c>
      <c r="M291">
        <v>1</v>
      </c>
      <c r="N291">
        <v>2</v>
      </c>
    </row>
    <row r="292" spans="1:14" x14ac:dyDescent="0.2">
      <c r="A292" s="1">
        <v>45175</v>
      </c>
      <c r="B292">
        <v>3</v>
      </c>
      <c r="C292" t="s">
        <v>13</v>
      </c>
      <c r="D292" s="2">
        <v>0.45416666666666666</v>
      </c>
      <c r="E292">
        <v>15370.36</v>
      </c>
      <c r="F292" s="2">
        <v>0.4548611111111111</v>
      </c>
      <c r="G292">
        <v>15381.12</v>
      </c>
      <c r="H292">
        <v>15381.12</v>
      </c>
      <c r="I292">
        <v>15343.46</v>
      </c>
      <c r="J292" t="s">
        <v>15</v>
      </c>
      <c r="K292">
        <v>-10.76</v>
      </c>
      <c r="L292" s="9">
        <v>-1</v>
      </c>
      <c r="M292">
        <v>0</v>
      </c>
      <c r="N292">
        <v>0</v>
      </c>
    </row>
    <row r="293" spans="1:14" x14ac:dyDescent="0.2">
      <c r="A293" s="1">
        <v>45176</v>
      </c>
      <c r="B293">
        <v>4</v>
      </c>
      <c r="C293" t="s">
        <v>13</v>
      </c>
      <c r="D293" s="2">
        <v>0.42152777777777778</v>
      </c>
      <c r="E293">
        <v>15158.47</v>
      </c>
      <c r="F293" s="2">
        <v>0.42222222222222222</v>
      </c>
      <c r="G293">
        <v>15169.08</v>
      </c>
      <c r="H293">
        <v>15169.08</v>
      </c>
      <c r="I293">
        <v>15131.94</v>
      </c>
      <c r="J293" t="s">
        <v>15</v>
      </c>
      <c r="K293">
        <v>-10.61</v>
      </c>
      <c r="L293" s="9">
        <v>-1</v>
      </c>
      <c r="M293">
        <v>0</v>
      </c>
      <c r="N293">
        <v>2</v>
      </c>
    </row>
    <row r="294" spans="1:14" x14ac:dyDescent="0.2">
      <c r="A294" s="1">
        <v>45176</v>
      </c>
      <c r="B294">
        <v>4</v>
      </c>
      <c r="C294" t="s">
        <v>16</v>
      </c>
      <c r="D294" s="2">
        <v>0.45</v>
      </c>
      <c r="E294">
        <v>15252.1</v>
      </c>
      <c r="F294" s="2">
        <v>0.4513888888888889</v>
      </c>
      <c r="G294">
        <v>15241.42</v>
      </c>
      <c r="H294">
        <v>15241.42</v>
      </c>
      <c r="I294">
        <v>15278.79</v>
      </c>
      <c r="J294" t="s">
        <v>15</v>
      </c>
      <c r="K294">
        <v>-10.68</v>
      </c>
      <c r="L294" s="9">
        <v>-1</v>
      </c>
      <c r="M294">
        <v>0</v>
      </c>
      <c r="N294">
        <v>3</v>
      </c>
    </row>
    <row r="295" spans="1:14" x14ac:dyDescent="0.2">
      <c r="A295" s="1">
        <v>45177</v>
      </c>
      <c r="B295">
        <v>5</v>
      </c>
      <c r="C295" t="s">
        <v>16</v>
      </c>
      <c r="D295" s="2">
        <v>0.40277777777777779</v>
      </c>
      <c r="E295">
        <v>15327.72</v>
      </c>
      <c r="F295" s="2">
        <v>0.41041666666666665</v>
      </c>
      <c r="G295">
        <v>15354.54</v>
      </c>
      <c r="H295">
        <v>15316.99</v>
      </c>
      <c r="I295">
        <v>15354.54</v>
      </c>
      <c r="J295" t="s">
        <v>14</v>
      </c>
      <c r="K295">
        <v>26.82</v>
      </c>
      <c r="L295" s="9">
        <v>2.5</v>
      </c>
      <c r="M295">
        <v>1</v>
      </c>
      <c r="N295">
        <v>0</v>
      </c>
    </row>
    <row r="296" spans="1:14" x14ac:dyDescent="0.2">
      <c r="A296" s="1">
        <v>45177</v>
      </c>
      <c r="B296">
        <v>5</v>
      </c>
      <c r="C296" t="s">
        <v>16</v>
      </c>
      <c r="D296" s="2">
        <v>0.42777777777777776</v>
      </c>
      <c r="E296">
        <v>15353.14</v>
      </c>
      <c r="F296" s="2">
        <v>0.43958333333333333</v>
      </c>
      <c r="G296">
        <v>15342.39</v>
      </c>
      <c r="H296">
        <v>15342.39</v>
      </c>
      <c r="I296">
        <v>15380</v>
      </c>
      <c r="J296" t="s">
        <v>15</v>
      </c>
      <c r="K296">
        <v>-10.75</v>
      </c>
      <c r="L296" s="9">
        <v>-1</v>
      </c>
      <c r="M296">
        <v>0</v>
      </c>
      <c r="N296">
        <v>0</v>
      </c>
    </row>
    <row r="297" spans="1:14" x14ac:dyDescent="0.2">
      <c r="A297" s="1">
        <v>45177</v>
      </c>
      <c r="B297">
        <v>5</v>
      </c>
      <c r="C297" t="s">
        <v>13</v>
      </c>
      <c r="D297" s="2">
        <v>0.44722222222222224</v>
      </c>
      <c r="E297">
        <v>15326.25</v>
      </c>
      <c r="F297" s="2">
        <v>0.45694444444444443</v>
      </c>
      <c r="G297">
        <v>15299.42</v>
      </c>
      <c r="H297">
        <v>15336.97</v>
      </c>
      <c r="I297">
        <v>15299.42</v>
      </c>
      <c r="J297" t="s">
        <v>14</v>
      </c>
      <c r="K297">
        <v>26.82</v>
      </c>
      <c r="L297" s="9">
        <v>2.5</v>
      </c>
      <c r="M297">
        <v>1</v>
      </c>
      <c r="N297">
        <v>0</v>
      </c>
    </row>
    <row r="298" spans="1:14" x14ac:dyDescent="0.2">
      <c r="A298" s="1">
        <v>45180</v>
      </c>
      <c r="B298">
        <v>1</v>
      </c>
      <c r="C298" t="s">
        <v>13</v>
      </c>
      <c r="D298" s="2">
        <v>0.40555555555555556</v>
      </c>
      <c r="E298">
        <v>15373.31</v>
      </c>
      <c r="F298" s="2">
        <v>0.40694444444444444</v>
      </c>
      <c r="G298">
        <v>15346.41</v>
      </c>
      <c r="H298">
        <v>15384.07</v>
      </c>
      <c r="I298">
        <v>15346.41</v>
      </c>
      <c r="J298" t="s">
        <v>14</v>
      </c>
      <c r="K298">
        <v>26.9</v>
      </c>
      <c r="L298" s="9">
        <v>2.5</v>
      </c>
      <c r="M298">
        <v>1</v>
      </c>
      <c r="N298">
        <v>2</v>
      </c>
    </row>
    <row r="299" spans="1:14" x14ac:dyDescent="0.2">
      <c r="A299" s="1">
        <v>45180</v>
      </c>
      <c r="B299">
        <v>1</v>
      </c>
      <c r="C299" t="s">
        <v>16</v>
      </c>
      <c r="D299" s="2">
        <v>0.4513888888888889</v>
      </c>
      <c r="E299">
        <v>15364.49</v>
      </c>
      <c r="F299" s="2">
        <v>0.45624999999999999</v>
      </c>
      <c r="G299">
        <v>15353.73</v>
      </c>
      <c r="H299">
        <v>15353.73</v>
      </c>
      <c r="I299">
        <v>15391.37</v>
      </c>
      <c r="J299" t="s">
        <v>15</v>
      </c>
      <c r="K299">
        <v>-10.76</v>
      </c>
      <c r="L299" s="9">
        <v>-1</v>
      </c>
      <c r="M299">
        <v>0</v>
      </c>
      <c r="N299">
        <v>0</v>
      </c>
    </row>
    <row r="300" spans="1:14" x14ac:dyDescent="0.2">
      <c r="A300" s="1">
        <v>45181</v>
      </c>
      <c r="B300">
        <v>2</v>
      </c>
      <c r="C300" t="s">
        <v>16</v>
      </c>
      <c r="D300" s="2">
        <v>0.40486111111111112</v>
      </c>
      <c r="E300">
        <v>15417.55</v>
      </c>
      <c r="F300" s="2">
        <v>0.40902777777777777</v>
      </c>
      <c r="G300">
        <v>15406.76</v>
      </c>
      <c r="H300">
        <v>15406.76</v>
      </c>
      <c r="I300">
        <v>15444.53</v>
      </c>
      <c r="J300" t="s">
        <v>15</v>
      </c>
      <c r="K300">
        <v>-10.79</v>
      </c>
      <c r="L300" s="9">
        <v>-1</v>
      </c>
      <c r="M300">
        <v>0</v>
      </c>
      <c r="N300">
        <v>2</v>
      </c>
    </row>
    <row r="301" spans="1:14" x14ac:dyDescent="0.2">
      <c r="A301" s="1">
        <v>45181</v>
      </c>
      <c r="B301">
        <v>2</v>
      </c>
      <c r="C301" t="s">
        <v>13</v>
      </c>
      <c r="D301" s="2">
        <v>0.43888888888888888</v>
      </c>
      <c r="E301">
        <v>15373.65</v>
      </c>
      <c r="F301" s="2">
        <v>0.43958333333333333</v>
      </c>
      <c r="G301">
        <v>15384.41</v>
      </c>
      <c r="H301">
        <v>15384.41</v>
      </c>
      <c r="I301">
        <v>15346.74</v>
      </c>
      <c r="J301" t="s">
        <v>15</v>
      </c>
      <c r="K301">
        <v>-10.76</v>
      </c>
      <c r="L301" s="9">
        <v>-1</v>
      </c>
      <c r="M301">
        <v>0</v>
      </c>
      <c r="N301">
        <v>3</v>
      </c>
    </row>
    <row r="302" spans="1:14" x14ac:dyDescent="0.2">
      <c r="A302" s="1">
        <v>45182</v>
      </c>
      <c r="B302">
        <v>3</v>
      </c>
      <c r="C302" t="s">
        <v>13</v>
      </c>
      <c r="D302" s="2">
        <v>0.4236111111111111</v>
      </c>
      <c r="E302">
        <v>15284.56</v>
      </c>
      <c r="F302" s="2">
        <v>0.42708333333333331</v>
      </c>
      <c r="G302">
        <v>15257.81</v>
      </c>
      <c r="H302">
        <v>15295.26</v>
      </c>
      <c r="I302">
        <v>15257.81</v>
      </c>
      <c r="J302" t="s">
        <v>14</v>
      </c>
      <c r="K302">
        <v>26.75</v>
      </c>
      <c r="L302" s="9">
        <v>2.5</v>
      </c>
      <c r="M302">
        <v>1</v>
      </c>
      <c r="N302">
        <v>0</v>
      </c>
    </row>
    <row r="303" spans="1:14" x14ac:dyDescent="0.2">
      <c r="A303" s="1">
        <v>45182</v>
      </c>
      <c r="B303">
        <v>3</v>
      </c>
      <c r="C303" t="s">
        <v>16</v>
      </c>
      <c r="D303" s="2">
        <v>0.4465277777777778</v>
      </c>
      <c r="E303">
        <v>15358.44</v>
      </c>
      <c r="F303" s="2">
        <v>0.44791666666666669</v>
      </c>
      <c r="G303">
        <v>15347.69</v>
      </c>
      <c r="H303">
        <v>15347.69</v>
      </c>
      <c r="I303">
        <v>15385.32</v>
      </c>
      <c r="J303" t="s">
        <v>15</v>
      </c>
      <c r="K303">
        <v>-10.75</v>
      </c>
      <c r="L303" s="9">
        <v>-1</v>
      </c>
      <c r="M303">
        <v>0</v>
      </c>
      <c r="N303">
        <v>0</v>
      </c>
    </row>
    <row r="304" spans="1:14" x14ac:dyDescent="0.2">
      <c r="A304" s="1">
        <v>45183</v>
      </c>
      <c r="B304">
        <v>4</v>
      </c>
      <c r="C304" t="s">
        <v>13</v>
      </c>
      <c r="D304" s="2">
        <v>0.41111111111111109</v>
      </c>
      <c r="E304">
        <v>15381.74</v>
      </c>
      <c r="F304" s="2">
        <v>0.41249999999999998</v>
      </c>
      <c r="G304">
        <v>15354.82</v>
      </c>
      <c r="H304">
        <v>15392.51</v>
      </c>
      <c r="I304">
        <v>15354.82</v>
      </c>
      <c r="J304" t="s">
        <v>14</v>
      </c>
      <c r="K304">
        <v>26.92</v>
      </c>
      <c r="L304" s="9">
        <v>2.5</v>
      </c>
      <c r="M304">
        <v>1</v>
      </c>
      <c r="N304">
        <v>0</v>
      </c>
    </row>
    <row r="305" spans="1:14" x14ac:dyDescent="0.2">
      <c r="A305" s="1">
        <v>45183</v>
      </c>
      <c r="B305">
        <v>4</v>
      </c>
      <c r="C305" t="s">
        <v>16</v>
      </c>
      <c r="D305" s="2">
        <v>0.44097222222222221</v>
      </c>
      <c r="E305">
        <v>15400.01</v>
      </c>
      <c r="F305" s="2">
        <v>0.44444444444444442</v>
      </c>
      <c r="G305">
        <v>15426.96</v>
      </c>
      <c r="H305">
        <v>15389.23</v>
      </c>
      <c r="I305">
        <v>15426.96</v>
      </c>
      <c r="J305" t="s">
        <v>14</v>
      </c>
      <c r="K305">
        <v>26.95</v>
      </c>
      <c r="L305" s="9">
        <v>2.5</v>
      </c>
      <c r="M305">
        <v>1</v>
      </c>
      <c r="N305">
        <v>2</v>
      </c>
    </row>
    <row r="306" spans="1:14" x14ac:dyDescent="0.2">
      <c r="A306" s="1">
        <v>45184</v>
      </c>
      <c r="B306">
        <v>5</v>
      </c>
      <c r="C306" t="s">
        <v>13</v>
      </c>
      <c r="D306" s="2">
        <v>0.40069444444444446</v>
      </c>
      <c r="E306">
        <v>15387.85</v>
      </c>
      <c r="F306" s="2">
        <v>0.40277777777777779</v>
      </c>
      <c r="G306">
        <v>15360.92</v>
      </c>
      <c r="H306">
        <v>15398.62</v>
      </c>
      <c r="I306">
        <v>15360.92</v>
      </c>
      <c r="J306" t="s">
        <v>14</v>
      </c>
      <c r="K306">
        <v>26.93</v>
      </c>
      <c r="L306" s="9">
        <v>2.5</v>
      </c>
      <c r="M306">
        <v>1</v>
      </c>
      <c r="N306">
        <v>3</v>
      </c>
    </row>
    <row r="307" spans="1:14" x14ac:dyDescent="0.2">
      <c r="A307" s="1">
        <v>45184</v>
      </c>
      <c r="B307">
        <v>5</v>
      </c>
      <c r="C307" t="s">
        <v>13</v>
      </c>
      <c r="D307" s="2">
        <v>0.4548611111111111</v>
      </c>
      <c r="E307">
        <v>15254.65</v>
      </c>
      <c r="F307" s="2">
        <v>0.47291666666666665</v>
      </c>
      <c r="G307">
        <v>15227.95</v>
      </c>
      <c r="H307">
        <v>15265.33</v>
      </c>
      <c r="I307">
        <v>15227.95</v>
      </c>
      <c r="J307" t="s">
        <v>14</v>
      </c>
      <c r="K307">
        <v>26.7</v>
      </c>
      <c r="L307" s="9">
        <v>2.5</v>
      </c>
      <c r="M307">
        <v>1</v>
      </c>
      <c r="N307">
        <v>4</v>
      </c>
    </row>
    <row r="308" spans="1:14" x14ac:dyDescent="0.2">
      <c r="A308" s="1">
        <v>45187</v>
      </c>
      <c r="B308">
        <v>1</v>
      </c>
      <c r="C308" t="s">
        <v>16</v>
      </c>
      <c r="D308" s="2">
        <v>0.40208333333333335</v>
      </c>
      <c r="E308">
        <v>15225.77</v>
      </c>
      <c r="F308" s="2">
        <v>0.40277777777777779</v>
      </c>
      <c r="G308">
        <v>15215.11</v>
      </c>
      <c r="H308">
        <v>15215.11</v>
      </c>
      <c r="I308">
        <v>15252.42</v>
      </c>
      <c r="J308" t="s">
        <v>15</v>
      </c>
      <c r="K308">
        <v>-10.66</v>
      </c>
      <c r="L308" s="9">
        <v>-1</v>
      </c>
      <c r="M308">
        <v>0</v>
      </c>
      <c r="N308">
        <v>0</v>
      </c>
    </row>
    <row r="309" spans="1:14" x14ac:dyDescent="0.2">
      <c r="A309" s="1">
        <v>45187</v>
      </c>
      <c r="B309">
        <v>1</v>
      </c>
      <c r="C309" t="s">
        <v>13</v>
      </c>
      <c r="D309" s="2">
        <v>0.44583333333333336</v>
      </c>
      <c r="E309">
        <v>15187.19</v>
      </c>
      <c r="F309" s="2">
        <v>0.4465277777777778</v>
      </c>
      <c r="G309">
        <v>15197.82</v>
      </c>
      <c r="H309">
        <v>15197.82</v>
      </c>
      <c r="I309">
        <v>15160.61</v>
      </c>
      <c r="J309" t="s">
        <v>15</v>
      </c>
      <c r="K309">
        <v>-10.63</v>
      </c>
      <c r="L309" s="9">
        <v>-1</v>
      </c>
      <c r="M309">
        <v>0</v>
      </c>
      <c r="N309">
        <v>2</v>
      </c>
    </row>
    <row r="310" spans="1:14" x14ac:dyDescent="0.2">
      <c r="A310" s="1">
        <v>45188</v>
      </c>
      <c r="B310">
        <v>2</v>
      </c>
      <c r="C310" t="s">
        <v>13</v>
      </c>
      <c r="D310" s="2">
        <v>0.4152777777777778</v>
      </c>
      <c r="E310">
        <v>15133.46</v>
      </c>
      <c r="F310" s="2">
        <v>0.41736111111111113</v>
      </c>
      <c r="G310">
        <v>15106.98</v>
      </c>
      <c r="H310">
        <v>15144.05</v>
      </c>
      <c r="I310">
        <v>15106.98</v>
      </c>
      <c r="J310" t="s">
        <v>14</v>
      </c>
      <c r="K310">
        <v>26.48</v>
      </c>
      <c r="L310" s="9">
        <v>2.5</v>
      </c>
      <c r="M310">
        <v>1</v>
      </c>
      <c r="N310">
        <v>0</v>
      </c>
    </row>
    <row r="311" spans="1:14" x14ac:dyDescent="0.2">
      <c r="A311" s="1">
        <v>45188</v>
      </c>
      <c r="B311">
        <v>2</v>
      </c>
      <c r="C311" t="s">
        <v>13</v>
      </c>
      <c r="D311" s="2">
        <v>0.44583333333333336</v>
      </c>
      <c r="E311">
        <v>15079.04</v>
      </c>
      <c r="F311" s="2">
        <v>0.44791666666666669</v>
      </c>
      <c r="G311">
        <v>15089.59</v>
      </c>
      <c r="H311">
        <v>15089.59</v>
      </c>
      <c r="I311">
        <v>15052.65</v>
      </c>
      <c r="J311" t="s">
        <v>15</v>
      </c>
      <c r="K311">
        <v>-10.56</v>
      </c>
      <c r="L311" s="9">
        <v>-1</v>
      </c>
      <c r="M311">
        <v>0</v>
      </c>
      <c r="N311">
        <v>0</v>
      </c>
    </row>
    <row r="312" spans="1:14" x14ac:dyDescent="0.2">
      <c r="A312" s="1">
        <v>45190</v>
      </c>
      <c r="B312">
        <v>4</v>
      </c>
      <c r="C312" t="s">
        <v>16</v>
      </c>
      <c r="D312" s="2">
        <v>0.39791666666666664</v>
      </c>
      <c r="E312">
        <v>14812.73</v>
      </c>
      <c r="F312" s="2">
        <v>0.39861111111111114</v>
      </c>
      <c r="G312">
        <v>14802.36</v>
      </c>
      <c r="H312">
        <v>14802.36</v>
      </c>
      <c r="I312">
        <v>14838.65</v>
      </c>
      <c r="J312" t="s">
        <v>15</v>
      </c>
      <c r="K312">
        <v>-10.37</v>
      </c>
      <c r="L312" s="9">
        <v>-1</v>
      </c>
      <c r="M312">
        <v>0</v>
      </c>
      <c r="N312">
        <v>2</v>
      </c>
    </row>
    <row r="313" spans="1:14" x14ac:dyDescent="0.2">
      <c r="A313" s="1">
        <v>45190</v>
      </c>
      <c r="B313">
        <v>4</v>
      </c>
      <c r="C313" t="s">
        <v>13</v>
      </c>
      <c r="D313" s="2">
        <v>0.41458333333333336</v>
      </c>
      <c r="E313">
        <v>14774.02</v>
      </c>
      <c r="F313" s="2">
        <v>0.42083333333333334</v>
      </c>
      <c r="G313">
        <v>14784.36</v>
      </c>
      <c r="H313">
        <v>14784.36</v>
      </c>
      <c r="I313">
        <v>14748.17</v>
      </c>
      <c r="J313" t="s">
        <v>15</v>
      </c>
      <c r="K313">
        <v>-10.34</v>
      </c>
      <c r="L313" s="9">
        <v>-1</v>
      </c>
      <c r="M313">
        <v>0</v>
      </c>
      <c r="N313">
        <v>3</v>
      </c>
    </row>
    <row r="314" spans="1:14" x14ac:dyDescent="0.2">
      <c r="A314" s="1">
        <v>45190</v>
      </c>
      <c r="B314">
        <v>4</v>
      </c>
      <c r="C314" t="s">
        <v>16</v>
      </c>
      <c r="D314" s="2">
        <v>0.43125000000000002</v>
      </c>
      <c r="E314">
        <v>14817.41</v>
      </c>
      <c r="F314" s="2">
        <v>0.43263888888888891</v>
      </c>
      <c r="G314">
        <v>14807.04</v>
      </c>
      <c r="H314">
        <v>14807.04</v>
      </c>
      <c r="I314">
        <v>14843.34</v>
      </c>
      <c r="J314" t="s">
        <v>15</v>
      </c>
      <c r="K314">
        <v>-10.37</v>
      </c>
      <c r="L314" s="9">
        <v>-1</v>
      </c>
      <c r="M314">
        <v>0</v>
      </c>
      <c r="N314">
        <v>4</v>
      </c>
    </row>
    <row r="315" spans="1:14" x14ac:dyDescent="0.2">
      <c r="A315" s="1">
        <v>45194</v>
      </c>
      <c r="B315">
        <v>1</v>
      </c>
      <c r="C315" t="s">
        <v>13</v>
      </c>
      <c r="D315" s="2">
        <v>0.43611111111111112</v>
      </c>
      <c r="E315">
        <v>14665.19</v>
      </c>
      <c r="F315" s="2">
        <v>0.43888888888888888</v>
      </c>
      <c r="G315">
        <v>14675.46</v>
      </c>
      <c r="H315">
        <v>14675.46</v>
      </c>
      <c r="I315">
        <v>14639.53</v>
      </c>
      <c r="J315" t="s">
        <v>15</v>
      </c>
      <c r="K315">
        <v>-10.27</v>
      </c>
      <c r="L315" s="9">
        <v>-1</v>
      </c>
      <c r="M315">
        <v>0</v>
      </c>
      <c r="N315">
        <v>5</v>
      </c>
    </row>
    <row r="316" spans="1:14" x14ac:dyDescent="0.2">
      <c r="A316" s="1">
        <v>45196</v>
      </c>
      <c r="B316">
        <v>3</v>
      </c>
      <c r="C316" t="s">
        <v>16</v>
      </c>
      <c r="D316" s="2">
        <v>0.40833333333333333</v>
      </c>
      <c r="E316">
        <v>14626.98</v>
      </c>
      <c r="F316" s="2">
        <v>0.40902777777777777</v>
      </c>
      <c r="G316">
        <v>14616.74</v>
      </c>
      <c r="H316">
        <v>14616.74</v>
      </c>
      <c r="I316">
        <v>14652.57</v>
      </c>
      <c r="J316" t="s">
        <v>15</v>
      </c>
      <c r="K316">
        <v>-10.24</v>
      </c>
      <c r="L316" s="9">
        <v>-1</v>
      </c>
      <c r="M316">
        <v>0</v>
      </c>
      <c r="N316">
        <v>6</v>
      </c>
    </row>
    <row r="317" spans="1:14" x14ac:dyDescent="0.2">
      <c r="A317" s="1">
        <v>45196</v>
      </c>
      <c r="B317">
        <v>3</v>
      </c>
      <c r="C317" t="s">
        <v>13</v>
      </c>
      <c r="D317" s="2">
        <v>0.42222222222222222</v>
      </c>
      <c r="E317">
        <v>14574.81</v>
      </c>
      <c r="F317" s="2">
        <v>0.42638888888888887</v>
      </c>
      <c r="G317">
        <v>14549.3</v>
      </c>
      <c r="H317">
        <v>14585.01</v>
      </c>
      <c r="I317">
        <v>14549.3</v>
      </c>
      <c r="J317" t="s">
        <v>14</v>
      </c>
      <c r="K317">
        <v>25.51</v>
      </c>
      <c r="L317" s="9">
        <v>2.5</v>
      </c>
      <c r="M317">
        <v>1</v>
      </c>
      <c r="N317">
        <v>0</v>
      </c>
    </row>
    <row r="318" spans="1:14" x14ac:dyDescent="0.2">
      <c r="A318" s="1">
        <v>45196</v>
      </c>
      <c r="B318">
        <v>3</v>
      </c>
      <c r="C318" t="s">
        <v>13</v>
      </c>
      <c r="D318" s="2">
        <v>0.45763888888888887</v>
      </c>
      <c r="E318">
        <v>14531.89</v>
      </c>
      <c r="F318" s="2">
        <v>0.45902777777777776</v>
      </c>
      <c r="G318">
        <v>14542.06</v>
      </c>
      <c r="H318">
        <v>14542.06</v>
      </c>
      <c r="I318">
        <v>14506.46</v>
      </c>
      <c r="J318" t="s">
        <v>15</v>
      </c>
      <c r="K318">
        <v>-10.17</v>
      </c>
      <c r="L318" s="9">
        <v>-1</v>
      </c>
      <c r="M318">
        <v>0</v>
      </c>
      <c r="N318">
        <v>0</v>
      </c>
    </row>
    <row r="319" spans="1:14" x14ac:dyDescent="0.2">
      <c r="A319" s="1">
        <v>45197</v>
      </c>
      <c r="B319">
        <v>4</v>
      </c>
      <c r="C319" t="s">
        <v>16</v>
      </c>
      <c r="D319" s="2">
        <v>0.4152777777777778</v>
      </c>
      <c r="E319">
        <v>14576.53</v>
      </c>
      <c r="F319" s="2">
        <v>0.41666666666666669</v>
      </c>
      <c r="G319">
        <v>14602.04</v>
      </c>
      <c r="H319">
        <v>14566.33</v>
      </c>
      <c r="I319">
        <v>14602.04</v>
      </c>
      <c r="J319" t="s">
        <v>14</v>
      </c>
      <c r="K319">
        <v>25.51</v>
      </c>
      <c r="L319" s="9">
        <v>2.5</v>
      </c>
      <c r="M319">
        <v>1</v>
      </c>
      <c r="N319">
        <v>0</v>
      </c>
    </row>
    <row r="320" spans="1:14" x14ac:dyDescent="0.2">
      <c r="A320" s="1">
        <v>45197</v>
      </c>
      <c r="B320">
        <v>4</v>
      </c>
      <c r="C320" t="s">
        <v>13</v>
      </c>
      <c r="D320" s="2">
        <v>0.44027777777777777</v>
      </c>
      <c r="E320">
        <v>14544.66</v>
      </c>
      <c r="F320" s="2">
        <v>0.44097222222222221</v>
      </c>
      <c r="G320">
        <v>14554.84</v>
      </c>
      <c r="H320">
        <v>14554.84</v>
      </c>
      <c r="I320">
        <v>14519.2</v>
      </c>
      <c r="J320" t="s">
        <v>15</v>
      </c>
      <c r="K320">
        <v>-10.18</v>
      </c>
      <c r="L320" s="9">
        <v>-1</v>
      </c>
      <c r="M320">
        <v>0</v>
      </c>
      <c r="N320">
        <v>0</v>
      </c>
    </row>
    <row r="321" spans="1:14" x14ac:dyDescent="0.2">
      <c r="A321" s="1">
        <v>45197</v>
      </c>
      <c r="B321">
        <v>4</v>
      </c>
      <c r="C321" t="s">
        <v>16</v>
      </c>
      <c r="D321" s="2">
        <v>0.45277777777777778</v>
      </c>
      <c r="E321">
        <v>14616.45</v>
      </c>
      <c r="F321" s="2">
        <v>0.46250000000000002</v>
      </c>
      <c r="G321">
        <v>14606.22</v>
      </c>
      <c r="H321">
        <v>14606.22</v>
      </c>
      <c r="I321">
        <v>14642.03</v>
      </c>
      <c r="J321" t="s">
        <v>15</v>
      </c>
      <c r="K321">
        <v>-10.23</v>
      </c>
      <c r="L321" s="9">
        <v>-1</v>
      </c>
      <c r="M321">
        <v>0</v>
      </c>
      <c r="N321">
        <v>2</v>
      </c>
    </row>
    <row r="322" spans="1:14" x14ac:dyDescent="0.2">
      <c r="A322" s="1">
        <v>45202</v>
      </c>
      <c r="B322">
        <v>2</v>
      </c>
      <c r="C322" t="s">
        <v>16</v>
      </c>
      <c r="D322" s="2">
        <v>0.40069444444444446</v>
      </c>
      <c r="E322">
        <v>14745.34</v>
      </c>
      <c r="F322" s="2">
        <v>0.40902777777777777</v>
      </c>
      <c r="G322">
        <v>14771.15</v>
      </c>
      <c r="H322">
        <v>14735.02</v>
      </c>
      <c r="I322">
        <v>14771.15</v>
      </c>
      <c r="J322" t="s">
        <v>14</v>
      </c>
      <c r="K322">
        <v>25.8</v>
      </c>
      <c r="L322" s="9">
        <v>2.5</v>
      </c>
      <c r="M322">
        <v>1</v>
      </c>
      <c r="N322">
        <v>0</v>
      </c>
    </row>
    <row r="323" spans="1:14" x14ac:dyDescent="0.2">
      <c r="A323" s="1">
        <v>45202</v>
      </c>
      <c r="B323">
        <v>2</v>
      </c>
      <c r="C323" t="s">
        <v>13</v>
      </c>
      <c r="D323" s="2">
        <v>0.42430555555555555</v>
      </c>
      <c r="E323">
        <v>14682.58</v>
      </c>
      <c r="F323" s="2">
        <v>0.42499999999999999</v>
      </c>
      <c r="G323">
        <v>14692.85</v>
      </c>
      <c r="H323">
        <v>14692.85</v>
      </c>
      <c r="I323">
        <v>14656.88</v>
      </c>
      <c r="J323" t="s">
        <v>15</v>
      </c>
      <c r="K323">
        <v>-10.28</v>
      </c>
      <c r="L323" s="9">
        <v>-1</v>
      </c>
      <c r="M323">
        <v>0</v>
      </c>
      <c r="N323">
        <v>0</v>
      </c>
    </row>
    <row r="324" spans="1:14" x14ac:dyDescent="0.2">
      <c r="A324" s="1">
        <v>45202</v>
      </c>
      <c r="B324">
        <v>2</v>
      </c>
      <c r="C324" t="s">
        <v>13</v>
      </c>
      <c r="D324" s="2">
        <v>0.4513888888888889</v>
      </c>
      <c r="E324">
        <v>14617.1</v>
      </c>
      <c r="F324" s="2">
        <v>0.45833333333333331</v>
      </c>
      <c r="G324">
        <v>14591.52</v>
      </c>
      <c r="H324">
        <v>14627.33</v>
      </c>
      <c r="I324">
        <v>14591.52</v>
      </c>
      <c r="J324" t="s">
        <v>14</v>
      </c>
      <c r="K324">
        <v>25.58</v>
      </c>
      <c r="L324" s="9">
        <v>2.5</v>
      </c>
      <c r="M324">
        <v>1</v>
      </c>
      <c r="N324">
        <v>0</v>
      </c>
    </row>
    <row r="325" spans="1:14" x14ac:dyDescent="0.2">
      <c r="A325" s="1">
        <v>45204</v>
      </c>
      <c r="B325">
        <v>4</v>
      </c>
      <c r="C325" t="s">
        <v>16</v>
      </c>
      <c r="D325" s="2">
        <v>0.39583333333333331</v>
      </c>
      <c r="E325">
        <v>14759.1</v>
      </c>
      <c r="F325" s="2">
        <v>0.3972222222222222</v>
      </c>
      <c r="G325">
        <v>14748.77</v>
      </c>
      <c r="H325">
        <v>14748.77</v>
      </c>
      <c r="I325">
        <v>14784.93</v>
      </c>
      <c r="J325" t="s">
        <v>15</v>
      </c>
      <c r="K325">
        <v>-10.33</v>
      </c>
      <c r="L325" s="9">
        <v>-1</v>
      </c>
      <c r="M325">
        <v>0</v>
      </c>
      <c r="N325">
        <v>0</v>
      </c>
    </row>
    <row r="326" spans="1:14" x14ac:dyDescent="0.2">
      <c r="A326" s="1">
        <v>45204</v>
      </c>
      <c r="B326">
        <v>4</v>
      </c>
      <c r="C326" t="s">
        <v>13</v>
      </c>
      <c r="D326" s="2">
        <v>0.41319444444444442</v>
      </c>
      <c r="E326">
        <v>14695.2</v>
      </c>
      <c r="F326" s="2">
        <v>0.41388888888888886</v>
      </c>
      <c r="G326">
        <v>14705.48</v>
      </c>
      <c r="H326">
        <v>14705.48</v>
      </c>
      <c r="I326">
        <v>14669.48</v>
      </c>
      <c r="J326" t="s">
        <v>15</v>
      </c>
      <c r="K326">
        <v>-10.29</v>
      </c>
      <c r="L326" s="9">
        <v>-1</v>
      </c>
      <c r="M326">
        <v>0</v>
      </c>
      <c r="N326">
        <v>2</v>
      </c>
    </row>
    <row r="327" spans="1:14" x14ac:dyDescent="0.2">
      <c r="A327" s="1">
        <v>45204</v>
      </c>
      <c r="B327">
        <v>4</v>
      </c>
      <c r="C327" t="s">
        <v>13</v>
      </c>
      <c r="D327" s="2">
        <v>0.4465277777777778</v>
      </c>
      <c r="E327">
        <v>14597.47</v>
      </c>
      <c r="F327" s="2">
        <v>0.45416666666666666</v>
      </c>
      <c r="G327">
        <v>14607.69</v>
      </c>
      <c r="H327">
        <v>14607.69</v>
      </c>
      <c r="I327">
        <v>14571.92</v>
      </c>
      <c r="J327" t="s">
        <v>15</v>
      </c>
      <c r="K327">
        <v>-10.220000000000001</v>
      </c>
      <c r="L327" s="9">
        <v>-1</v>
      </c>
      <c r="M327">
        <v>0</v>
      </c>
      <c r="N327">
        <v>3</v>
      </c>
    </row>
    <row r="328" spans="1:14" x14ac:dyDescent="0.2">
      <c r="A328" s="1">
        <v>45205</v>
      </c>
      <c r="B328">
        <v>5</v>
      </c>
      <c r="C328" t="s">
        <v>13</v>
      </c>
      <c r="D328" s="2">
        <v>0.42291666666666666</v>
      </c>
      <c r="E328">
        <v>14585.61</v>
      </c>
      <c r="F328" s="2">
        <v>0.4236111111111111</v>
      </c>
      <c r="G328">
        <v>14595.82</v>
      </c>
      <c r="H328">
        <v>14595.82</v>
      </c>
      <c r="I328">
        <v>14560.08</v>
      </c>
      <c r="J328" t="s">
        <v>15</v>
      </c>
      <c r="K328">
        <v>-10.210000000000001</v>
      </c>
      <c r="L328" s="9">
        <v>-1</v>
      </c>
      <c r="M328">
        <v>0</v>
      </c>
      <c r="N328">
        <v>4</v>
      </c>
    </row>
    <row r="329" spans="1:14" x14ac:dyDescent="0.2">
      <c r="A329" s="1">
        <v>45205</v>
      </c>
      <c r="B329">
        <v>5</v>
      </c>
      <c r="C329" t="s">
        <v>16</v>
      </c>
      <c r="D329" s="2">
        <v>0.44097222222222221</v>
      </c>
      <c r="E329">
        <v>14731.1</v>
      </c>
      <c r="F329" s="2">
        <v>0.4465277777777778</v>
      </c>
      <c r="G329">
        <v>14720.78</v>
      </c>
      <c r="H329">
        <v>14720.78</v>
      </c>
      <c r="I329">
        <v>14756.88</v>
      </c>
      <c r="J329" t="s">
        <v>15</v>
      </c>
      <c r="K329">
        <v>-10.31</v>
      </c>
      <c r="L329" s="9">
        <v>-1</v>
      </c>
      <c r="M329">
        <v>0</v>
      </c>
      <c r="N329">
        <v>5</v>
      </c>
    </row>
    <row r="330" spans="1:14" x14ac:dyDescent="0.2">
      <c r="A330" s="1">
        <v>45208</v>
      </c>
      <c r="B330">
        <v>1</v>
      </c>
      <c r="C330" t="s">
        <v>16</v>
      </c>
      <c r="D330" s="2">
        <v>0.43541666666666667</v>
      </c>
      <c r="E330">
        <v>14913.68</v>
      </c>
      <c r="F330" s="2">
        <v>0.43611111111111112</v>
      </c>
      <c r="G330">
        <v>14903.24</v>
      </c>
      <c r="H330">
        <v>14903.24</v>
      </c>
      <c r="I330">
        <v>14939.78</v>
      </c>
      <c r="J330" t="s">
        <v>15</v>
      </c>
      <c r="K330">
        <v>-10.44</v>
      </c>
      <c r="L330" s="9">
        <v>-1</v>
      </c>
      <c r="M330">
        <v>0</v>
      </c>
      <c r="N330">
        <v>6</v>
      </c>
    </row>
    <row r="331" spans="1:14" x14ac:dyDescent="0.2">
      <c r="A331" s="1">
        <v>45208</v>
      </c>
      <c r="B331">
        <v>1</v>
      </c>
      <c r="C331" t="s">
        <v>13</v>
      </c>
      <c r="D331" s="2">
        <v>0.4465277777777778</v>
      </c>
      <c r="E331">
        <v>14872.13</v>
      </c>
      <c r="F331" s="2">
        <v>0.44722222222222224</v>
      </c>
      <c r="G331">
        <v>14882.54</v>
      </c>
      <c r="H331">
        <v>14882.54</v>
      </c>
      <c r="I331">
        <v>14846.1</v>
      </c>
      <c r="J331" t="s">
        <v>15</v>
      </c>
      <c r="K331">
        <v>-10.41</v>
      </c>
      <c r="L331" s="9">
        <v>-1</v>
      </c>
      <c r="M331">
        <v>0</v>
      </c>
      <c r="N331">
        <v>7</v>
      </c>
    </row>
    <row r="332" spans="1:14" x14ac:dyDescent="0.2">
      <c r="A332" s="1">
        <v>45209</v>
      </c>
      <c r="B332">
        <v>2</v>
      </c>
      <c r="C332" t="s">
        <v>16</v>
      </c>
      <c r="D332" s="2">
        <v>0.41388888888888886</v>
      </c>
      <c r="E332">
        <v>15080.14</v>
      </c>
      <c r="F332" s="2">
        <v>0.41666666666666669</v>
      </c>
      <c r="G332">
        <v>15106.53</v>
      </c>
      <c r="H332">
        <v>15069.58</v>
      </c>
      <c r="I332">
        <v>15106.53</v>
      </c>
      <c r="J332" t="s">
        <v>14</v>
      </c>
      <c r="K332">
        <v>26.39</v>
      </c>
      <c r="L332" s="9">
        <v>2.5</v>
      </c>
      <c r="M332">
        <v>1</v>
      </c>
      <c r="N332">
        <v>0</v>
      </c>
    </row>
    <row r="333" spans="1:14" x14ac:dyDescent="0.2">
      <c r="A333" s="1">
        <v>45210</v>
      </c>
      <c r="B333">
        <v>3</v>
      </c>
      <c r="C333" t="s">
        <v>16</v>
      </c>
      <c r="D333" s="2">
        <v>0.40138888888888891</v>
      </c>
      <c r="E333">
        <v>15232.74</v>
      </c>
      <c r="F333" s="2">
        <v>0.40277777777777779</v>
      </c>
      <c r="G333">
        <v>15222.08</v>
      </c>
      <c r="H333">
        <v>15222.08</v>
      </c>
      <c r="I333">
        <v>15259.4</v>
      </c>
      <c r="J333" t="s">
        <v>15</v>
      </c>
      <c r="K333">
        <v>-10.66</v>
      </c>
      <c r="L333" s="9">
        <v>-1</v>
      </c>
      <c r="M333">
        <v>0</v>
      </c>
      <c r="N333">
        <v>0</v>
      </c>
    </row>
    <row r="334" spans="1:14" x14ac:dyDescent="0.2">
      <c r="A334" s="1">
        <v>45210</v>
      </c>
      <c r="B334">
        <v>3</v>
      </c>
      <c r="C334" t="s">
        <v>13</v>
      </c>
      <c r="D334" s="2">
        <v>0.41597222222222224</v>
      </c>
      <c r="E334">
        <v>15194.61</v>
      </c>
      <c r="F334" s="2">
        <v>0.42708333333333331</v>
      </c>
      <c r="G334">
        <v>15168.02</v>
      </c>
      <c r="H334">
        <v>15205.25</v>
      </c>
      <c r="I334">
        <v>15168.02</v>
      </c>
      <c r="J334" t="s">
        <v>14</v>
      </c>
      <c r="K334">
        <v>26.59</v>
      </c>
      <c r="L334" s="9">
        <v>2.5</v>
      </c>
      <c r="M334">
        <v>1</v>
      </c>
      <c r="N334">
        <v>0</v>
      </c>
    </row>
    <row r="335" spans="1:14" x14ac:dyDescent="0.2">
      <c r="A335" s="1">
        <v>45210</v>
      </c>
      <c r="B335">
        <v>3</v>
      </c>
      <c r="C335" t="s">
        <v>16</v>
      </c>
      <c r="D335" s="2">
        <v>0.45624999999999999</v>
      </c>
      <c r="E335">
        <v>15215.34</v>
      </c>
      <c r="F335" s="2">
        <v>0.46666666666666667</v>
      </c>
      <c r="G335">
        <v>15241.96</v>
      </c>
      <c r="H335">
        <v>15204.69</v>
      </c>
      <c r="I335">
        <v>15241.96</v>
      </c>
      <c r="J335" t="s">
        <v>14</v>
      </c>
      <c r="K335">
        <v>26.63</v>
      </c>
      <c r="L335" s="9">
        <v>2.5</v>
      </c>
      <c r="M335">
        <v>1</v>
      </c>
      <c r="N335">
        <v>2</v>
      </c>
    </row>
    <row r="336" spans="1:14" x14ac:dyDescent="0.2">
      <c r="A336" s="1">
        <v>45211</v>
      </c>
      <c r="B336">
        <v>4</v>
      </c>
      <c r="C336" t="s">
        <v>16</v>
      </c>
      <c r="D336" s="2">
        <v>0.40208333333333335</v>
      </c>
      <c r="E336">
        <v>15266.89</v>
      </c>
      <c r="F336" s="2">
        <v>0.40277777777777779</v>
      </c>
      <c r="G336">
        <v>15256.2</v>
      </c>
      <c r="H336">
        <v>15256.2</v>
      </c>
      <c r="I336">
        <v>15293.61</v>
      </c>
      <c r="J336" t="s">
        <v>15</v>
      </c>
      <c r="K336">
        <v>-10.69</v>
      </c>
      <c r="L336" s="9">
        <v>-1</v>
      </c>
      <c r="M336">
        <v>0</v>
      </c>
      <c r="N336">
        <v>0</v>
      </c>
    </row>
    <row r="337" spans="1:14" x14ac:dyDescent="0.2">
      <c r="A337" s="1">
        <v>45211</v>
      </c>
      <c r="B337">
        <v>4</v>
      </c>
      <c r="C337" t="s">
        <v>16</v>
      </c>
      <c r="D337" s="2">
        <v>0.42708333333333331</v>
      </c>
      <c r="E337">
        <v>15313.85</v>
      </c>
      <c r="F337" s="2">
        <v>0.42777777777777776</v>
      </c>
      <c r="G337">
        <v>15303.13</v>
      </c>
      <c r="H337">
        <v>15303.13</v>
      </c>
      <c r="I337">
        <v>15340.65</v>
      </c>
      <c r="J337" t="s">
        <v>15</v>
      </c>
      <c r="K337">
        <v>-10.72</v>
      </c>
      <c r="L337" s="9">
        <v>-1</v>
      </c>
      <c r="M337">
        <v>0</v>
      </c>
      <c r="N337">
        <v>2</v>
      </c>
    </row>
    <row r="338" spans="1:14" x14ac:dyDescent="0.2">
      <c r="A338" s="1">
        <v>45212</v>
      </c>
      <c r="B338">
        <v>5</v>
      </c>
      <c r="C338" t="s">
        <v>13</v>
      </c>
      <c r="D338" s="2">
        <v>0.42708333333333331</v>
      </c>
      <c r="E338">
        <v>15169.16</v>
      </c>
      <c r="F338" s="2">
        <v>0.43333333333333335</v>
      </c>
      <c r="G338">
        <v>15142.62</v>
      </c>
      <c r="H338">
        <v>15179.78</v>
      </c>
      <c r="I338">
        <v>15142.62</v>
      </c>
      <c r="J338" t="s">
        <v>14</v>
      </c>
      <c r="K338">
        <v>26.55</v>
      </c>
      <c r="L338" s="9">
        <v>2.5</v>
      </c>
      <c r="M338">
        <v>1</v>
      </c>
      <c r="N338">
        <v>0</v>
      </c>
    </row>
    <row r="339" spans="1:14" x14ac:dyDescent="0.2">
      <c r="A339" s="1">
        <v>45215</v>
      </c>
      <c r="B339">
        <v>1</v>
      </c>
      <c r="C339" t="s">
        <v>16</v>
      </c>
      <c r="D339" s="2">
        <v>0.40138888888888891</v>
      </c>
      <c r="E339">
        <v>15111.86</v>
      </c>
      <c r="F339" s="2">
        <v>0.40416666666666667</v>
      </c>
      <c r="G339">
        <v>15101.28</v>
      </c>
      <c r="H339">
        <v>15101.28</v>
      </c>
      <c r="I339">
        <v>15138.31</v>
      </c>
      <c r="J339" t="s">
        <v>15</v>
      </c>
      <c r="K339">
        <v>-10.58</v>
      </c>
      <c r="L339" s="9">
        <v>-1</v>
      </c>
      <c r="M339">
        <v>0</v>
      </c>
      <c r="N339">
        <v>0</v>
      </c>
    </row>
    <row r="340" spans="1:14" x14ac:dyDescent="0.2">
      <c r="A340" s="1">
        <v>45215</v>
      </c>
      <c r="B340">
        <v>1</v>
      </c>
      <c r="C340" t="s">
        <v>16</v>
      </c>
      <c r="D340" s="2">
        <v>0.42638888888888887</v>
      </c>
      <c r="E340">
        <v>15127.49</v>
      </c>
      <c r="F340" s="2">
        <v>0.43194444444444446</v>
      </c>
      <c r="G340">
        <v>15153.97</v>
      </c>
      <c r="H340">
        <v>15116.9</v>
      </c>
      <c r="I340">
        <v>15153.97</v>
      </c>
      <c r="J340" t="s">
        <v>14</v>
      </c>
      <c r="K340">
        <v>26.47</v>
      </c>
      <c r="L340" s="9">
        <v>2.5</v>
      </c>
      <c r="M340">
        <v>1</v>
      </c>
      <c r="N340">
        <v>0</v>
      </c>
    </row>
    <row r="341" spans="1:14" x14ac:dyDescent="0.2">
      <c r="A341" s="1">
        <v>45216</v>
      </c>
      <c r="B341">
        <v>2</v>
      </c>
      <c r="C341" t="s">
        <v>13</v>
      </c>
      <c r="D341" s="2">
        <v>0.39583333333333331</v>
      </c>
      <c r="E341">
        <v>15018.4</v>
      </c>
      <c r="F341" s="2">
        <v>0.39930555555555558</v>
      </c>
      <c r="G341">
        <v>14992.11</v>
      </c>
      <c r="H341">
        <v>15028.91</v>
      </c>
      <c r="I341">
        <v>14992.11</v>
      </c>
      <c r="J341" t="s">
        <v>14</v>
      </c>
      <c r="K341">
        <v>26.28</v>
      </c>
      <c r="L341" s="9">
        <v>2.5</v>
      </c>
      <c r="M341">
        <v>1</v>
      </c>
      <c r="N341">
        <v>2</v>
      </c>
    </row>
    <row r="342" spans="1:14" x14ac:dyDescent="0.2">
      <c r="A342" s="1">
        <v>45216</v>
      </c>
      <c r="B342">
        <v>2</v>
      </c>
      <c r="C342" t="s">
        <v>16</v>
      </c>
      <c r="D342" s="2">
        <v>0.4284722222222222</v>
      </c>
      <c r="E342">
        <v>15039.89</v>
      </c>
      <c r="F342" s="2">
        <v>0.43263888888888891</v>
      </c>
      <c r="G342">
        <v>15066.21</v>
      </c>
      <c r="H342">
        <v>15029.37</v>
      </c>
      <c r="I342">
        <v>15066.21</v>
      </c>
      <c r="J342" t="s">
        <v>14</v>
      </c>
      <c r="K342">
        <v>26.32</v>
      </c>
      <c r="L342" s="9">
        <v>2.5</v>
      </c>
      <c r="M342">
        <v>1</v>
      </c>
      <c r="N342">
        <v>3</v>
      </c>
    </row>
    <row r="343" spans="1:14" x14ac:dyDescent="0.2">
      <c r="A343" s="1">
        <v>45217</v>
      </c>
      <c r="B343">
        <v>3</v>
      </c>
      <c r="C343" t="s">
        <v>16</v>
      </c>
      <c r="D343" s="2">
        <v>0.43402777777777779</v>
      </c>
      <c r="E343">
        <v>15089.69</v>
      </c>
      <c r="F343" s="2">
        <v>0.43472222222222223</v>
      </c>
      <c r="G343">
        <v>15079.13</v>
      </c>
      <c r="H343">
        <v>15079.13</v>
      </c>
      <c r="I343">
        <v>15116.1</v>
      </c>
      <c r="J343" t="s">
        <v>15</v>
      </c>
      <c r="K343">
        <v>-10.56</v>
      </c>
      <c r="L343" s="9">
        <v>-1</v>
      </c>
      <c r="M343">
        <v>0</v>
      </c>
      <c r="N343">
        <v>0</v>
      </c>
    </row>
    <row r="344" spans="1:14" x14ac:dyDescent="0.2">
      <c r="A344" s="1">
        <v>45217</v>
      </c>
      <c r="B344">
        <v>3</v>
      </c>
      <c r="C344" t="s">
        <v>13</v>
      </c>
      <c r="D344" s="2">
        <v>0.44444444444444442</v>
      </c>
      <c r="E344">
        <v>14998.06</v>
      </c>
      <c r="F344" s="2">
        <v>0.4465277777777778</v>
      </c>
      <c r="G344">
        <v>15008.56</v>
      </c>
      <c r="H344">
        <v>15008.56</v>
      </c>
      <c r="I344">
        <v>14971.81</v>
      </c>
      <c r="J344" t="s">
        <v>15</v>
      </c>
      <c r="K344">
        <v>-10.5</v>
      </c>
      <c r="L344" s="9">
        <v>-1</v>
      </c>
      <c r="M344">
        <v>0</v>
      </c>
      <c r="N344">
        <v>2</v>
      </c>
    </row>
    <row r="345" spans="1:14" x14ac:dyDescent="0.2">
      <c r="A345" s="1">
        <v>45218</v>
      </c>
      <c r="B345">
        <v>4</v>
      </c>
      <c r="C345" t="s">
        <v>13</v>
      </c>
      <c r="D345" s="2">
        <v>0.40555555555555556</v>
      </c>
      <c r="E345">
        <v>14927.7</v>
      </c>
      <c r="F345" s="2">
        <v>0.40972222222222221</v>
      </c>
      <c r="G345">
        <v>14938.15</v>
      </c>
      <c r="H345">
        <v>14938.15</v>
      </c>
      <c r="I345">
        <v>14901.58</v>
      </c>
      <c r="J345" t="s">
        <v>15</v>
      </c>
      <c r="K345">
        <v>-10.45</v>
      </c>
      <c r="L345" s="9">
        <v>-1</v>
      </c>
      <c r="M345">
        <v>0</v>
      </c>
      <c r="N345">
        <v>3</v>
      </c>
    </row>
    <row r="346" spans="1:14" x14ac:dyDescent="0.2">
      <c r="A346" s="1">
        <v>45218</v>
      </c>
      <c r="B346">
        <v>4</v>
      </c>
      <c r="C346" t="s">
        <v>16</v>
      </c>
      <c r="D346" s="2">
        <v>0.42708333333333331</v>
      </c>
      <c r="E346">
        <v>14978.15</v>
      </c>
      <c r="F346" s="2">
        <v>0.4284722222222222</v>
      </c>
      <c r="G346">
        <v>14967.67</v>
      </c>
      <c r="H346">
        <v>14967.67</v>
      </c>
      <c r="I346">
        <v>15004.36</v>
      </c>
      <c r="J346" t="s">
        <v>15</v>
      </c>
      <c r="K346">
        <v>-10.48</v>
      </c>
      <c r="L346" s="9">
        <v>-1</v>
      </c>
      <c r="M346">
        <v>0</v>
      </c>
      <c r="N346">
        <v>4</v>
      </c>
    </row>
    <row r="347" spans="1:14" x14ac:dyDescent="0.2">
      <c r="A347" s="1">
        <v>45218</v>
      </c>
      <c r="B347">
        <v>4</v>
      </c>
      <c r="C347" t="s">
        <v>13</v>
      </c>
      <c r="D347" s="2">
        <v>0.44027777777777777</v>
      </c>
      <c r="E347">
        <v>14901.31</v>
      </c>
      <c r="F347" s="2">
        <v>0.44097222222222221</v>
      </c>
      <c r="G347">
        <v>14911.74</v>
      </c>
      <c r="H347">
        <v>14911.74</v>
      </c>
      <c r="I347">
        <v>14875.23</v>
      </c>
      <c r="J347" t="s">
        <v>15</v>
      </c>
      <c r="K347">
        <v>-10.43</v>
      </c>
      <c r="L347" s="9">
        <v>-1</v>
      </c>
      <c r="M347">
        <v>0</v>
      </c>
      <c r="N347">
        <v>5</v>
      </c>
    </row>
    <row r="348" spans="1:14" x14ac:dyDescent="0.2">
      <c r="A348" s="1">
        <v>45219</v>
      </c>
      <c r="B348">
        <v>5</v>
      </c>
      <c r="C348" t="s">
        <v>13</v>
      </c>
      <c r="D348" s="2">
        <v>0.42430555555555555</v>
      </c>
      <c r="E348">
        <v>14716.35</v>
      </c>
      <c r="F348" s="2">
        <v>0.42499999999999999</v>
      </c>
      <c r="G348">
        <v>14690.6</v>
      </c>
      <c r="H348">
        <v>14726.65</v>
      </c>
      <c r="I348">
        <v>14690.6</v>
      </c>
      <c r="J348" t="s">
        <v>14</v>
      </c>
      <c r="K348">
        <v>25.75</v>
      </c>
      <c r="L348" s="9">
        <v>2.5</v>
      </c>
      <c r="M348">
        <v>1</v>
      </c>
      <c r="N348">
        <v>0</v>
      </c>
    </row>
    <row r="349" spans="1:14" x14ac:dyDescent="0.2">
      <c r="A349" s="1">
        <v>45222</v>
      </c>
      <c r="B349">
        <v>1</v>
      </c>
      <c r="C349" t="s">
        <v>13</v>
      </c>
      <c r="D349" s="2">
        <v>0.40625</v>
      </c>
      <c r="E349">
        <v>14436.62</v>
      </c>
      <c r="F349" s="2">
        <v>0.40763888888888888</v>
      </c>
      <c r="G349">
        <v>14446.72</v>
      </c>
      <c r="H349">
        <v>14446.72</v>
      </c>
      <c r="I349">
        <v>14411.35</v>
      </c>
      <c r="J349" t="s">
        <v>15</v>
      </c>
      <c r="K349">
        <v>-10.11</v>
      </c>
      <c r="L349" s="9">
        <v>-1</v>
      </c>
      <c r="M349">
        <v>0</v>
      </c>
      <c r="N349">
        <v>0</v>
      </c>
    </row>
    <row r="350" spans="1:14" x14ac:dyDescent="0.2">
      <c r="A350" s="1">
        <v>45222</v>
      </c>
      <c r="B350">
        <v>1</v>
      </c>
      <c r="C350" t="s">
        <v>16</v>
      </c>
      <c r="D350" s="2">
        <v>0.41666666666666669</v>
      </c>
      <c r="E350">
        <v>14527.96</v>
      </c>
      <c r="F350" s="2">
        <v>0.41805555555555557</v>
      </c>
      <c r="G350">
        <v>14517.79</v>
      </c>
      <c r="H350">
        <v>14517.79</v>
      </c>
      <c r="I350">
        <v>14553.39</v>
      </c>
      <c r="J350" t="s">
        <v>15</v>
      </c>
      <c r="K350">
        <v>-10.17</v>
      </c>
      <c r="L350" s="9">
        <v>-1</v>
      </c>
      <c r="M350">
        <v>0</v>
      </c>
      <c r="N350">
        <v>2</v>
      </c>
    </row>
    <row r="351" spans="1:14" x14ac:dyDescent="0.2">
      <c r="A351" s="1">
        <v>45224</v>
      </c>
      <c r="B351">
        <v>3</v>
      </c>
      <c r="C351" t="s">
        <v>13</v>
      </c>
      <c r="D351" s="2">
        <v>0.39583333333333331</v>
      </c>
      <c r="E351">
        <v>14642.45</v>
      </c>
      <c r="F351" s="2">
        <v>0.39652777777777776</v>
      </c>
      <c r="G351">
        <v>14616.83</v>
      </c>
      <c r="H351">
        <v>14652.7</v>
      </c>
      <c r="I351">
        <v>14616.83</v>
      </c>
      <c r="J351" t="s">
        <v>14</v>
      </c>
      <c r="K351">
        <v>25.62</v>
      </c>
      <c r="L351" s="9">
        <v>2.5</v>
      </c>
      <c r="M351">
        <v>1</v>
      </c>
      <c r="N351">
        <v>0</v>
      </c>
    </row>
    <row r="352" spans="1:14" x14ac:dyDescent="0.2">
      <c r="A352" s="1">
        <v>45224</v>
      </c>
      <c r="B352">
        <v>3</v>
      </c>
      <c r="C352" t="s">
        <v>16</v>
      </c>
      <c r="D352" s="2">
        <v>0.4513888888888889</v>
      </c>
      <c r="E352">
        <v>14567.58</v>
      </c>
      <c r="F352" s="2">
        <v>0.45208333333333334</v>
      </c>
      <c r="G352">
        <v>14557.38</v>
      </c>
      <c r="H352">
        <v>14557.38</v>
      </c>
      <c r="I352">
        <v>14593.07</v>
      </c>
      <c r="J352" t="s">
        <v>15</v>
      </c>
      <c r="K352">
        <v>-10.199999999999999</v>
      </c>
      <c r="L352" s="9">
        <v>-1</v>
      </c>
      <c r="M352">
        <v>0</v>
      </c>
      <c r="N352">
        <v>0</v>
      </c>
    </row>
    <row r="353" spans="1:14" x14ac:dyDescent="0.2">
      <c r="A353" s="1">
        <v>45225</v>
      </c>
      <c r="B353">
        <v>4</v>
      </c>
      <c r="C353" t="s">
        <v>13</v>
      </c>
      <c r="D353" s="2">
        <v>0.41111111111111109</v>
      </c>
      <c r="E353">
        <v>14272.45</v>
      </c>
      <c r="F353" s="2">
        <v>0.41180555555555554</v>
      </c>
      <c r="G353">
        <v>14247.47</v>
      </c>
      <c r="H353">
        <v>14282.44</v>
      </c>
      <c r="I353">
        <v>14247.47</v>
      </c>
      <c r="J353" t="s">
        <v>14</v>
      </c>
      <c r="K353">
        <v>24.98</v>
      </c>
      <c r="L353" s="9">
        <v>2.5</v>
      </c>
      <c r="M353">
        <v>1</v>
      </c>
      <c r="N353">
        <v>0</v>
      </c>
    </row>
    <row r="354" spans="1:14" x14ac:dyDescent="0.2">
      <c r="A354" s="1">
        <v>45225</v>
      </c>
      <c r="B354">
        <v>4</v>
      </c>
      <c r="C354" t="s">
        <v>16</v>
      </c>
      <c r="D354" s="2">
        <v>0.45416666666666666</v>
      </c>
      <c r="E354">
        <v>14282.49</v>
      </c>
      <c r="F354" s="2">
        <v>0.4548611111111111</v>
      </c>
      <c r="G354">
        <v>14272.49</v>
      </c>
      <c r="H354">
        <v>14272.49</v>
      </c>
      <c r="I354">
        <v>14307.49</v>
      </c>
      <c r="J354" t="s">
        <v>15</v>
      </c>
      <c r="K354">
        <v>-10</v>
      </c>
      <c r="L354" s="9">
        <v>-1</v>
      </c>
      <c r="M354">
        <v>0</v>
      </c>
      <c r="N354">
        <v>0</v>
      </c>
    </row>
    <row r="355" spans="1:14" x14ac:dyDescent="0.2">
      <c r="A355" s="1">
        <v>45229</v>
      </c>
      <c r="B355">
        <v>1</v>
      </c>
      <c r="C355" t="s">
        <v>16</v>
      </c>
      <c r="D355" s="2">
        <v>0.40486111111111112</v>
      </c>
      <c r="E355">
        <v>14337.8</v>
      </c>
      <c r="F355" s="2">
        <v>0.40625</v>
      </c>
      <c r="G355">
        <v>14362.89</v>
      </c>
      <c r="H355">
        <v>14327.77</v>
      </c>
      <c r="I355">
        <v>14362.89</v>
      </c>
      <c r="J355" t="s">
        <v>14</v>
      </c>
      <c r="K355">
        <v>25.09</v>
      </c>
      <c r="L355" s="9">
        <v>2.5</v>
      </c>
      <c r="M355">
        <v>1</v>
      </c>
      <c r="N355">
        <v>0</v>
      </c>
    </row>
    <row r="356" spans="1:14" x14ac:dyDescent="0.2">
      <c r="A356" s="1">
        <v>45229</v>
      </c>
      <c r="B356">
        <v>1</v>
      </c>
      <c r="C356" t="s">
        <v>13</v>
      </c>
      <c r="D356" s="2">
        <v>0.4284722222222222</v>
      </c>
      <c r="E356">
        <v>14317.84</v>
      </c>
      <c r="F356" s="2">
        <v>0.42916666666666664</v>
      </c>
      <c r="G356">
        <v>14292.79</v>
      </c>
      <c r="H356">
        <v>14327.87</v>
      </c>
      <c r="I356">
        <v>14292.79</v>
      </c>
      <c r="J356" t="s">
        <v>14</v>
      </c>
      <c r="K356">
        <v>25.06</v>
      </c>
      <c r="L356" s="9">
        <v>2.5</v>
      </c>
      <c r="M356">
        <v>1</v>
      </c>
      <c r="N356">
        <v>2</v>
      </c>
    </row>
    <row r="357" spans="1:14" x14ac:dyDescent="0.2">
      <c r="A357" s="1">
        <v>45232</v>
      </c>
      <c r="B357">
        <v>4</v>
      </c>
      <c r="C357" t="s">
        <v>13</v>
      </c>
      <c r="D357" s="2">
        <v>0.42083333333333334</v>
      </c>
      <c r="E357">
        <v>14833.03</v>
      </c>
      <c r="F357" s="2">
        <v>0.42222222222222222</v>
      </c>
      <c r="G357">
        <v>14807.07</v>
      </c>
      <c r="H357">
        <v>14843.41</v>
      </c>
      <c r="I357">
        <v>14807.07</v>
      </c>
      <c r="J357" t="s">
        <v>14</v>
      </c>
      <c r="K357">
        <v>25.96</v>
      </c>
      <c r="L357" s="9">
        <v>2.5</v>
      </c>
      <c r="M357">
        <v>1</v>
      </c>
      <c r="N357">
        <v>3</v>
      </c>
    </row>
    <row r="358" spans="1:14" x14ac:dyDescent="0.2">
      <c r="A358" s="1">
        <v>45232</v>
      </c>
      <c r="B358">
        <v>4</v>
      </c>
      <c r="C358" t="s">
        <v>16</v>
      </c>
      <c r="D358" s="2">
        <v>0.4465277777777778</v>
      </c>
      <c r="E358">
        <v>14860.22</v>
      </c>
      <c r="F358" s="2">
        <v>0.46111111111111114</v>
      </c>
      <c r="G358">
        <v>14886.23</v>
      </c>
      <c r="H358">
        <v>14849.82</v>
      </c>
      <c r="I358">
        <v>14886.23</v>
      </c>
      <c r="J358" t="s">
        <v>14</v>
      </c>
      <c r="K358">
        <v>26.01</v>
      </c>
      <c r="L358" s="9">
        <v>2.5</v>
      </c>
      <c r="M358">
        <v>1</v>
      </c>
      <c r="N358">
        <v>4</v>
      </c>
    </row>
    <row r="359" spans="1:14" x14ac:dyDescent="0.2">
      <c r="A359" s="1">
        <v>45233</v>
      </c>
      <c r="B359">
        <v>5</v>
      </c>
      <c r="C359" t="s">
        <v>16</v>
      </c>
      <c r="D359" s="2">
        <v>0.39861111111111114</v>
      </c>
      <c r="E359">
        <v>14986.75</v>
      </c>
      <c r="F359" s="2">
        <v>0.39930555555555558</v>
      </c>
      <c r="G359">
        <v>14976.26</v>
      </c>
      <c r="H359">
        <v>14976.26</v>
      </c>
      <c r="I359">
        <v>15012.98</v>
      </c>
      <c r="J359" t="s">
        <v>15</v>
      </c>
      <c r="K359">
        <v>-10.49</v>
      </c>
      <c r="L359" s="9">
        <v>-1</v>
      </c>
      <c r="M359">
        <v>0</v>
      </c>
      <c r="N359">
        <v>0</v>
      </c>
    </row>
    <row r="360" spans="1:14" x14ac:dyDescent="0.2">
      <c r="A360" s="1">
        <v>45233</v>
      </c>
      <c r="B360">
        <v>5</v>
      </c>
      <c r="C360" t="s">
        <v>13</v>
      </c>
      <c r="D360" s="2">
        <v>0.43402777777777779</v>
      </c>
      <c r="E360">
        <v>15016.65</v>
      </c>
      <c r="F360" s="2">
        <v>0.43472222222222223</v>
      </c>
      <c r="G360">
        <v>14990.37</v>
      </c>
      <c r="H360">
        <v>15027.16</v>
      </c>
      <c r="I360">
        <v>14990.37</v>
      </c>
      <c r="J360" t="s">
        <v>14</v>
      </c>
      <c r="K360">
        <v>26.28</v>
      </c>
      <c r="L360" s="9">
        <v>2.5</v>
      </c>
      <c r="M360">
        <v>1</v>
      </c>
      <c r="N360">
        <v>0</v>
      </c>
    </row>
    <row r="361" spans="1:14" x14ac:dyDescent="0.2">
      <c r="A361" s="1">
        <v>45236</v>
      </c>
      <c r="B361">
        <v>1</v>
      </c>
      <c r="C361" t="s">
        <v>13</v>
      </c>
      <c r="D361" s="2">
        <v>0.39583333333333331</v>
      </c>
      <c r="E361">
        <v>15131.67</v>
      </c>
      <c r="F361" s="2">
        <v>0.39652777777777776</v>
      </c>
      <c r="G361">
        <v>15142.26</v>
      </c>
      <c r="H361">
        <v>15142.26</v>
      </c>
      <c r="I361">
        <v>15105.19</v>
      </c>
      <c r="J361" t="s">
        <v>15</v>
      </c>
      <c r="K361">
        <v>-10.59</v>
      </c>
      <c r="L361" s="9">
        <v>-1</v>
      </c>
      <c r="M361">
        <v>0</v>
      </c>
      <c r="N361">
        <v>0</v>
      </c>
    </row>
    <row r="362" spans="1:14" x14ac:dyDescent="0.2">
      <c r="A362" s="1">
        <v>45236</v>
      </c>
      <c r="B362">
        <v>1</v>
      </c>
      <c r="C362" t="s">
        <v>13</v>
      </c>
      <c r="D362" s="2">
        <v>0.42708333333333331</v>
      </c>
      <c r="E362">
        <v>15118.36</v>
      </c>
      <c r="F362" s="2">
        <v>0.42777777777777776</v>
      </c>
      <c r="G362">
        <v>15128.94</v>
      </c>
      <c r="H362">
        <v>15128.94</v>
      </c>
      <c r="I362">
        <v>15091.9</v>
      </c>
      <c r="J362" t="s">
        <v>15</v>
      </c>
      <c r="K362">
        <v>-10.58</v>
      </c>
      <c r="L362" s="9">
        <v>-1</v>
      </c>
      <c r="M362">
        <v>0</v>
      </c>
      <c r="N362">
        <v>2</v>
      </c>
    </row>
    <row r="363" spans="1:14" x14ac:dyDescent="0.2">
      <c r="A363" s="1">
        <v>45236</v>
      </c>
      <c r="B363">
        <v>1</v>
      </c>
      <c r="C363" t="s">
        <v>16</v>
      </c>
      <c r="D363" s="2">
        <v>0.43958333333333333</v>
      </c>
      <c r="E363">
        <v>15136.15</v>
      </c>
      <c r="F363" s="2">
        <v>0.44444444444444442</v>
      </c>
      <c r="G363">
        <v>15162.64</v>
      </c>
      <c r="H363">
        <v>15125.56</v>
      </c>
      <c r="I363">
        <v>15162.64</v>
      </c>
      <c r="J363" t="s">
        <v>14</v>
      </c>
      <c r="K363">
        <v>26.49</v>
      </c>
      <c r="L363" s="9">
        <v>2.5</v>
      </c>
      <c r="M363">
        <v>1</v>
      </c>
      <c r="N363">
        <v>0</v>
      </c>
    </row>
    <row r="364" spans="1:14" x14ac:dyDescent="0.2">
      <c r="A364" s="1">
        <v>45237</v>
      </c>
      <c r="B364">
        <v>2</v>
      </c>
      <c r="C364" t="s">
        <v>16</v>
      </c>
      <c r="D364" s="2">
        <v>0.41666666666666669</v>
      </c>
      <c r="E364">
        <v>15221.85</v>
      </c>
      <c r="F364" s="2">
        <v>0.42152777777777778</v>
      </c>
      <c r="G364">
        <v>15211.19</v>
      </c>
      <c r="H364">
        <v>15211.19</v>
      </c>
      <c r="I364">
        <v>15248.49</v>
      </c>
      <c r="J364" t="s">
        <v>15</v>
      </c>
      <c r="K364">
        <v>-10.66</v>
      </c>
      <c r="L364" s="9">
        <v>-1</v>
      </c>
      <c r="M364">
        <v>0</v>
      </c>
      <c r="N364">
        <v>0</v>
      </c>
    </row>
    <row r="365" spans="1:14" x14ac:dyDescent="0.2">
      <c r="A365" s="1">
        <v>45237</v>
      </c>
      <c r="B365">
        <v>2</v>
      </c>
      <c r="C365" t="s">
        <v>16</v>
      </c>
      <c r="D365" s="2">
        <v>0.44166666666666665</v>
      </c>
      <c r="E365">
        <v>15274.02</v>
      </c>
      <c r="F365" s="2">
        <v>0.45069444444444445</v>
      </c>
      <c r="G365">
        <v>15300.75</v>
      </c>
      <c r="H365">
        <v>15263.33</v>
      </c>
      <c r="I365">
        <v>15300.75</v>
      </c>
      <c r="J365" t="s">
        <v>14</v>
      </c>
      <c r="K365">
        <v>26.73</v>
      </c>
      <c r="L365" s="9">
        <v>2.5</v>
      </c>
      <c r="M365">
        <v>1</v>
      </c>
      <c r="N365">
        <v>0</v>
      </c>
    </row>
    <row r="366" spans="1:14" x14ac:dyDescent="0.2">
      <c r="A366" s="1">
        <v>45238</v>
      </c>
      <c r="B366">
        <v>3</v>
      </c>
      <c r="C366" t="s">
        <v>16</v>
      </c>
      <c r="D366" s="2">
        <v>0.41388888888888886</v>
      </c>
      <c r="E366">
        <v>15334.71</v>
      </c>
      <c r="F366" s="2">
        <v>0.4152777777777778</v>
      </c>
      <c r="G366">
        <v>15323.97</v>
      </c>
      <c r="H366">
        <v>15323.97</v>
      </c>
      <c r="I366">
        <v>15361.54</v>
      </c>
      <c r="J366" t="s">
        <v>15</v>
      </c>
      <c r="K366">
        <v>-10.73</v>
      </c>
      <c r="L366" s="9">
        <v>-1</v>
      </c>
      <c r="M366">
        <v>0</v>
      </c>
      <c r="N366">
        <v>0</v>
      </c>
    </row>
    <row r="367" spans="1:14" x14ac:dyDescent="0.2">
      <c r="A367" s="1">
        <v>45238</v>
      </c>
      <c r="B367">
        <v>3</v>
      </c>
      <c r="C367" t="s">
        <v>13</v>
      </c>
      <c r="D367" s="2">
        <v>0.42916666666666664</v>
      </c>
      <c r="E367">
        <v>15292.46</v>
      </c>
      <c r="F367" s="2">
        <v>0.44097222222222221</v>
      </c>
      <c r="G367">
        <v>15265.7</v>
      </c>
      <c r="H367">
        <v>15303.17</v>
      </c>
      <c r="I367">
        <v>15265.7</v>
      </c>
      <c r="J367" t="s">
        <v>14</v>
      </c>
      <c r="K367">
        <v>26.76</v>
      </c>
      <c r="L367" s="9">
        <v>2.5</v>
      </c>
      <c r="M367">
        <v>1</v>
      </c>
      <c r="N367">
        <v>0</v>
      </c>
    </row>
    <row r="368" spans="1:14" x14ac:dyDescent="0.2">
      <c r="A368" s="1">
        <v>45239</v>
      </c>
      <c r="B368">
        <v>4</v>
      </c>
      <c r="C368" t="s">
        <v>13</v>
      </c>
      <c r="D368" s="2">
        <v>0.40277777777777779</v>
      </c>
      <c r="E368">
        <v>15307.86</v>
      </c>
      <c r="F368" s="2">
        <v>0.41111111111111109</v>
      </c>
      <c r="G368">
        <v>15318.57</v>
      </c>
      <c r="H368">
        <v>15318.57</v>
      </c>
      <c r="I368">
        <v>15281.07</v>
      </c>
      <c r="J368" t="s">
        <v>15</v>
      </c>
      <c r="K368">
        <v>-10.72</v>
      </c>
      <c r="L368" s="9">
        <v>-1</v>
      </c>
      <c r="M368">
        <v>0</v>
      </c>
      <c r="N368">
        <v>0</v>
      </c>
    </row>
    <row r="369" spans="1:14" x14ac:dyDescent="0.2">
      <c r="A369" s="1">
        <v>45239</v>
      </c>
      <c r="B369">
        <v>4</v>
      </c>
      <c r="C369" t="s">
        <v>13</v>
      </c>
      <c r="D369" s="2">
        <v>0.43819444444444444</v>
      </c>
      <c r="E369">
        <v>15295.13</v>
      </c>
      <c r="F369" s="2">
        <v>0.44305555555555554</v>
      </c>
      <c r="G369">
        <v>15305.84</v>
      </c>
      <c r="H369">
        <v>15305.84</v>
      </c>
      <c r="I369">
        <v>15268.37</v>
      </c>
      <c r="J369" t="s">
        <v>15</v>
      </c>
      <c r="K369">
        <v>-10.71</v>
      </c>
      <c r="L369" s="9">
        <v>-1</v>
      </c>
      <c r="M369">
        <v>0</v>
      </c>
      <c r="N369">
        <v>2</v>
      </c>
    </row>
    <row r="370" spans="1:14" x14ac:dyDescent="0.2">
      <c r="A370" s="1">
        <v>45239</v>
      </c>
      <c r="B370">
        <v>4</v>
      </c>
      <c r="C370" t="s">
        <v>16</v>
      </c>
      <c r="D370" s="2">
        <v>0.45555555555555555</v>
      </c>
      <c r="E370">
        <v>15314.59</v>
      </c>
      <c r="F370" s="2">
        <v>0.46180555555555558</v>
      </c>
      <c r="G370">
        <v>15341.39</v>
      </c>
      <c r="H370">
        <v>15303.87</v>
      </c>
      <c r="I370">
        <v>15341.39</v>
      </c>
      <c r="J370" t="s">
        <v>14</v>
      </c>
      <c r="K370">
        <v>26.8</v>
      </c>
      <c r="L370" s="9">
        <v>2.5</v>
      </c>
      <c r="M370">
        <v>1</v>
      </c>
      <c r="N370">
        <v>0</v>
      </c>
    </row>
    <row r="371" spans="1:14" x14ac:dyDescent="0.2">
      <c r="A371" s="1">
        <v>45240</v>
      </c>
      <c r="B371">
        <v>5</v>
      </c>
      <c r="C371" t="s">
        <v>16</v>
      </c>
      <c r="D371" s="2">
        <v>0.40694444444444444</v>
      </c>
      <c r="E371">
        <v>15299.72</v>
      </c>
      <c r="F371" s="2">
        <v>0.41666666666666669</v>
      </c>
      <c r="G371">
        <v>15289.01</v>
      </c>
      <c r="H371">
        <v>15289.01</v>
      </c>
      <c r="I371">
        <v>15326.5</v>
      </c>
      <c r="J371" t="s">
        <v>15</v>
      </c>
      <c r="K371">
        <v>-10.71</v>
      </c>
      <c r="L371" s="9">
        <v>-1</v>
      </c>
      <c r="M371">
        <v>0</v>
      </c>
      <c r="N371">
        <v>0</v>
      </c>
    </row>
    <row r="372" spans="1:14" x14ac:dyDescent="0.2">
      <c r="A372" s="1">
        <v>45240</v>
      </c>
      <c r="B372">
        <v>5</v>
      </c>
      <c r="C372" t="s">
        <v>16</v>
      </c>
      <c r="D372" s="2">
        <v>0.45555555555555555</v>
      </c>
      <c r="E372">
        <v>15289.76</v>
      </c>
      <c r="F372" s="2">
        <v>0.45833333333333331</v>
      </c>
      <c r="G372">
        <v>15316.52</v>
      </c>
      <c r="H372">
        <v>15279.06</v>
      </c>
      <c r="I372">
        <v>15316.52</v>
      </c>
      <c r="J372" t="s">
        <v>14</v>
      </c>
      <c r="K372">
        <v>26.76</v>
      </c>
      <c r="L372" s="9">
        <v>2.5</v>
      </c>
      <c r="M372">
        <v>1</v>
      </c>
      <c r="N372">
        <v>0</v>
      </c>
    </row>
    <row r="373" spans="1:14" x14ac:dyDescent="0.2">
      <c r="A373" s="1">
        <v>45243</v>
      </c>
      <c r="B373">
        <v>1</v>
      </c>
      <c r="C373" t="s">
        <v>13</v>
      </c>
      <c r="D373" s="2">
        <v>0.40347222222222223</v>
      </c>
      <c r="E373">
        <v>15435.38</v>
      </c>
      <c r="F373" s="2">
        <v>0.41249999999999998</v>
      </c>
      <c r="G373">
        <v>15408.37</v>
      </c>
      <c r="H373">
        <v>15446.18</v>
      </c>
      <c r="I373">
        <v>15408.37</v>
      </c>
      <c r="J373" t="s">
        <v>14</v>
      </c>
      <c r="K373">
        <v>27.01</v>
      </c>
      <c r="L373" s="9">
        <v>2.5</v>
      </c>
      <c r="M373">
        <v>1</v>
      </c>
      <c r="N373">
        <v>2</v>
      </c>
    </row>
    <row r="374" spans="1:14" x14ac:dyDescent="0.2">
      <c r="A374" s="1">
        <v>45243</v>
      </c>
      <c r="B374">
        <v>1</v>
      </c>
      <c r="C374" t="s">
        <v>16</v>
      </c>
      <c r="D374" s="2">
        <v>0.45</v>
      </c>
      <c r="E374">
        <v>15471.2</v>
      </c>
      <c r="F374" s="2">
        <v>0.4513888888888889</v>
      </c>
      <c r="G374">
        <v>15460.37</v>
      </c>
      <c r="H374">
        <v>15460.37</v>
      </c>
      <c r="I374">
        <v>15498.27</v>
      </c>
      <c r="J374" t="s">
        <v>15</v>
      </c>
      <c r="K374">
        <v>-10.83</v>
      </c>
      <c r="L374" s="9">
        <v>-1</v>
      </c>
      <c r="M374">
        <v>0</v>
      </c>
      <c r="N374">
        <v>0</v>
      </c>
    </row>
    <row r="375" spans="1:14" x14ac:dyDescent="0.2">
      <c r="A375" s="1">
        <v>45244</v>
      </c>
      <c r="B375">
        <v>2</v>
      </c>
      <c r="C375" t="s">
        <v>16</v>
      </c>
      <c r="D375" s="2">
        <v>0.40416666666666667</v>
      </c>
      <c r="E375">
        <v>15768.08</v>
      </c>
      <c r="F375" s="2">
        <v>0.40625</v>
      </c>
      <c r="G375">
        <v>15795.68</v>
      </c>
      <c r="H375">
        <v>15757.04</v>
      </c>
      <c r="I375">
        <v>15795.68</v>
      </c>
      <c r="J375" t="s">
        <v>14</v>
      </c>
      <c r="K375">
        <v>27.59</v>
      </c>
      <c r="L375" s="9">
        <v>2.5</v>
      </c>
      <c r="M375">
        <v>1</v>
      </c>
      <c r="N375">
        <v>0</v>
      </c>
    </row>
    <row r="376" spans="1:14" x14ac:dyDescent="0.2">
      <c r="A376" s="1">
        <v>45244</v>
      </c>
      <c r="B376">
        <v>2</v>
      </c>
      <c r="C376" t="s">
        <v>16</v>
      </c>
      <c r="D376" s="2">
        <v>0.44097222222222221</v>
      </c>
      <c r="E376">
        <v>15821.25</v>
      </c>
      <c r="F376" s="2">
        <v>0.45555555555555555</v>
      </c>
      <c r="G376">
        <v>15810.18</v>
      </c>
      <c r="H376">
        <v>15810.18</v>
      </c>
      <c r="I376">
        <v>15848.94</v>
      </c>
      <c r="J376" t="s">
        <v>15</v>
      </c>
      <c r="K376">
        <v>-11.07</v>
      </c>
      <c r="L376" s="9">
        <v>-1</v>
      </c>
      <c r="M376">
        <v>0</v>
      </c>
      <c r="N376">
        <v>0</v>
      </c>
    </row>
    <row r="377" spans="1:14" x14ac:dyDescent="0.2">
      <c r="A377" s="1">
        <v>45245</v>
      </c>
      <c r="B377">
        <v>3</v>
      </c>
      <c r="C377" t="s">
        <v>13</v>
      </c>
      <c r="D377" s="2">
        <v>0.41388888888888886</v>
      </c>
      <c r="E377">
        <v>15846.81</v>
      </c>
      <c r="F377" s="2">
        <v>0.42152777777777778</v>
      </c>
      <c r="G377">
        <v>15857.9</v>
      </c>
      <c r="H377">
        <v>15857.9</v>
      </c>
      <c r="I377">
        <v>15819.07</v>
      </c>
      <c r="J377" t="s">
        <v>15</v>
      </c>
      <c r="K377">
        <v>-11.09</v>
      </c>
      <c r="L377" s="9">
        <v>-1</v>
      </c>
      <c r="M377">
        <v>0</v>
      </c>
      <c r="N377">
        <v>2</v>
      </c>
    </row>
    <row r="378" spans="1:14" x14ac:dyDescent="0.2">
      <c r="A378" s="1">
        <v>45245</v>
      </c>
      <c r="B378">
        <v>3</v>
      </c>
      <c r="C378" t="s">
        <v>16</v>
      </c>
      <c r="D378" s="2">
        <v>0.43541666666666667</v>
      </c>
      <c r="E378">
        <v>15883.68</v>
      </c>
      <c r="F378" s="2">
        <v>0.43680555555555556</v>
      </c>
      <c r="G378">
        <v>15872.57</v>
      </c>
      <c r="H378">
        <v>15872.57</v>
      </c>
      <c r="I378">
        <v>15911.48</v>
      </c>
      <c r="J378" t="s">
        <v>15</v>
      </c>
      <c r="K378">
        <v>-11.12</v>
      </c>
      <c r="L378" s="9">
        <v>-1</v>
      </c>
      <c r="M378">
        <v>0</v>
      </c>
      <c r="N378">
        <v>3</v>
      </c>
    </row>
    <row r="379" spans="1:14" x14ac:dyDescent="0.2">
      <c r="A379" s="1">
        <v>45245</v>
      </c>
      <c r="B379">
        <v>3</v>
      </c>
      <c r="C379" t="s">
        <v>16</v>
      </c>
      <c r="D379" s="2">
        <v>0.45347222222222222</v>
      </c>
      <c r="E379">
        <v>15894.33</v>
      </c>
      <c r="F379" s="2">
        <v>0.45694444444444443</v>
      </c>
      <c r="G379">
        <v>15883.2</v>
      </c>
      <c r="H379">
        <v>15883.2</v>
      </c>
      <c r="I379">
        <v>15922.14</v>
      </c>
      <c r="J379" t="s">
        <v>15</v>
      </c>
      <c r="K379">
        <v>-11.13</v>
      </c>
      <c r="L379" s="9">
        <v>-1</v>
      </c>
      <c r="M379">
        <v>0</v>
      </c>
      <c r="N379">
        <v>4</v>
      </c>
    </row>
    <row r="380" spans="1:14" x14ac:dyDescent="0.2">
      <c r="A380" s="1">
        <v>45246</v>
      </c>
      <c r="B380">
        <v>4</v>
      </c>
      <c r="C380" t="s">
        <v>16</v>
      </c>
      <c r="D380" s="2">
        <v>0.41597222222222224</v>
      </c>
      <c r="E380">
        <v>15823.87</v>
      </c>
      <c r="F380" s="2">
        <v>0.42222222222222222</v>
      </c>
      <c r="G380">
        <v>15812.79</v>
      </c>
      <c r="H380">
        <v>15812.79</v>
      </c>
      <c r="I380">
        <v>15851.56</v>
      </c>
      <c r="J380" t="s">
        <v>15</v>
      </c>
      <c r="K380">
        <v>-11.08</v>
      </c>
      <c r="L380" s="9">
        <v>-1</v>
      </c>
      <c r="M380">
        <v>0</v>
      </c>
      <c r="N380">
        <v>5</v>
      </c>
    </row>
    <row r="381" spans="1:14" x14ac:dyDescent="0.2">
      <c r="A381" s="1">
        <v>45246</v>
      </c>
      <c r="B381">
        <v>4</v>
      </c>
      <c r="C381" t="s">
        <v>13</v>
      </c>
      <c r="D381" s="2">
        <v>0.44513888888888886</v>
      </c>
      <c r="E381">
        <v>15777.12</v>
      </c>
      <c r="F381" s="2">
        <v>0.44930555555555557</v>
      </c>
      <c r="G381">
        <v>15788.17</v>
      </c>
      <c r="H381">
        <v>15788.17</v>
      </c>
      <c r="I381">
        <v>15749.51</v>
      </c>
      <c r="J381" t="s">
        <v>15</v>
      </c>
      <c r="K381">
        <v>-11.04</v>
      </c>
      <c r="L381" s="9">
        <v>-1</v>
      </c>
      <c r="M381">
        <v>0</v>
      </c>
      <c r="N381">
        <v>6</v>
      </c>
    </row>
    <row r="382" spans="1:14" x14ac:dyDescent="0.2">
      <c r="A382" s="1">
        <v>45247</v>
      </c>
      <c r="B382">
        <v>5</v>
      </c>
      <c r="C382" t="s">
        <v>13</v>
      </c>
      <c r="D382" s="2">
        <v>0.39583333333333331</v>
      </c>
      <c r="E382">
        <v>15809.94</v>
      </c>
      <c r="F382" s="2">
        <v>0.40208333333333335</v>
      </c>
      <c r="G382">
        <v>15782.28</v>
      </c>
      <c r="H382">
        <v>15821.01</v>
      </c>
      <c r="I382">
        <v>15782.28</v>
      </c>
      <c r="J382" t="s">
        <v>14</v>
      </c>
      <c r="K382">
        <v>27.67</v>
      </c>
      <c r="L382" s="9">
        <v>2.5</v>
      </c>
      <c r="M382">
        <v>1</v>
      </c>
      <c r="N382">
        <v>0</v>
      </c>
    </row>
    <row r="383" spans="1:14" x14ac:dyDescent="0.2">
      <c r="A383" s="1">
        <v>45250</v>
      </c>
      <c r="B383">
        <v>1</v>
      </c>
      <c r="C383" t="s">
        <v>13</v>
      </c>
      <c r="D383" s="2">
        <v>0.39583333333333331</v>
      </c>
      <c r="E383">
        <v>15843.2</v>
      </c>
      <c r="F383" s="2">
        <v>0.39652777777777776</v>
      </c>
      <c r="G383">
        <v>15854.29</v>
      </c>
      <c r="H383">
        <v>15854.29</v>
      </c>
      <c r="I383">
        <v>15815.48</v>
      </c>
      <c r="J383" t="s">
        <v>15</v>
      </c>
      <c r="K383">
        <v>-11.09</v>
      </c>
      <c r="L383" s="9">
        <v>-1</v>
      </c>
      <c r="M383">
        <v>0</v>
      </c>
      <c r="N383">
        <v>0</v>
      </c>
    </row>
    <row r="384" spans="1:14" x14ac:dyDescent="0.2">
      <c r="A384" s="1">
        <v>45250</v>
      </c>
      <c r="B384">
        <v>1</v>
      </c>
      <c r="C384" t="s">
        <v>16</v>
      </c>
      <c r="D384" s="2">
        <v>0.40208333333333335</v>
      </c>
      <c r="E384">
        <v>15911</v>
      </c>
      <c r="F384" s="2">
        <v>0.40555555555555556</v>
      </c>
      <c r="G384">
        <v>15899.87</v>
      </c>
      <c r="H384">
        <v>15899.87</v>
      </c>
      <c r="I384">
        <v>15938.85</v>
      </c>
      <c r="J384" t="s">
        <v>15</v>
      </c>
      <c r="K384">
        <v>-11.14</v>
      </c>
      <c r="L384" s="9">
        <v>-1</v>
      </c>
      <c r="M384">
        <v>0</v>
      </c>
      <c r="N384">
        <v>2</v>
      </c>
    </row>
    <row r="385" spans="1:14" x14ac:dyDescent="0.2">
      <c r="A385" s="1">
        <v>45250</v>
      </c>
      <c r="B385">
        <v>1</v>
      </c>
      <c r="C385" t="s">
        <v>13</v>
      </c>
      <c r="D385" s="2">
        <v>0.43472222222222223</v>
      </c>
      <c r="E385">
        <v>15895.7</v>
      </c>
      <c r="F385" s="2">
        <v>0.4375</v>
      </c>
      <c r="G385">
        <v>15906.83</v>
      </c>
      <c r="H385">
        <v>15906.83</v>
      </c>
      <c r="I385">
        <v>15867.89</v>
      </c>
      <c r="J385" t="s">
        <v>15</v>
      </c>
      <c r="K385">
        <v>-11.13</v>
      </c>
      <c r="L385" s="9">
        <v>-1</v>
      </c>
      <c r="M385">
        <v>0</v>
      </c>
      <c r="N385">
        <v>3</v>
      </c>
    </row>
    <row r="386" spans="1:14" x14ac:dyDescent="0.2">
      <c r="A386" s="1">
        <v>45251</v>
      </c>
      <c r="B386">
        <v>2</v>
      </c>
      <c r="C386" t="s">
        <v>13</v>
      </c>
      <c r="D386" s="2">
        <v>0.41666666666666669</v>
      </c>
      <c r="E386">
        <v>15939.42</v>
      </c>
      <c r="F386" s="2">
        <v>0.43125000000000002</v>
      </c>
      <c r="G386">
        <v>15911.52</v>
      </c>
      <c r="H386">
        <v>15950.58</v>
      </c>
      <c r="I386">
        <v>15911.52</v>
      </c>
      <c r="J386" t="s">
        <v>14</v>
      </c>
      <c r="K386">
        <v>27.89</v>
      </c>
      <c r="L386" s="9">
        <v>2.5</v>
      </c>
      <c r="M386">
        <v>1</v>
      </c>
      <c r="N386">
        <v>0</v>
      </c>
    </row>
    <row r="387" spans="1:14" x14ac:dyDescent="0.2">
      <c r="A387" s="1">
        <v>45253</v>
      </c>
      <c r="B387">
        <v>4</v>
      </c>
      <c r="C387" t="s">
        <v>13</v>
      </c>
      <c r="D387" s="2">
        <v>0.40138888888888891</v>
      </c>
      <c r="E387">
        <v>16010.69</v>
      </c>
      <c r="F387" s="2">
        <v>0.40347222222222223</v>
      </c>
      <c r="G387">
        <v>16021.9</v>
      </c>
      <c r="H387">
        <v>16021.9</v>
      </c>
      <c r="I387">
        <v>15982.67</v>
      </c>
      <c r="J387" t="s">
        <v>15</v>
      </c>
      <c r="K387">
        <v>-11.21</v>
      </c>
      <c r="L387" s="9">
        <v>-1</v>
      </c>
      <c r="M387">
        <v>0</v>
      </c>
      <c r="N387">
        <v>0</v>
      </c>
    </row>
    <row r="388" spans="1:14" x14ac:dyDescent="0.2">
      <c r="A388" s="1">
        <v>45253</v>
      </c>
      <c r="B388">
        <v>4</v>
      </c>
      <c r="C388" t="s">
        <v>13</v>
      </c>
      <c r="D388" s="2">
        <v>0.42083333333333334</v>
      </c>
      <c r="E388">
        <v>16005.49</v>
      </c>
      <c r="F388" s="2">
        <v>0.44861111111111113</v>
      </c>
      <c r="G388">
        <v>16016.69</v>
      </c>
      <c r="H388">
        <v>16016.69</v>
      </c>
      <c r="I388">
        <v>15977.48</v>
      </c>
      <c r="J388" t="s">
        <v>15</v>
      </c>
      <c r="K388">
        <v>-11.2</v>
      </c>
      <c r="L388" s="9">
        <v>-1</v>
      </c>
      <c r="M388">
        <v>0</v>
      </c>
      <c r="N388">
        <v>2</v>
      </c>
    </row>
    <row r="389" spans="1:14" x14ac:dyDescent="0.2">
      <c r="A389" s="1">
        <v>45253</v>
      </c>
      <c r="B389">
        <v>4</v>
      </c>
      <c r="C389" t="s">
        <v>16</v>
      </c>
      <c r="D389" s="2">
        <v>0.4548611111111111</v>
      </c>
      <c r="E389">
        <v>16019.01</v>
      </c>
      <c r="F389" s="2">
        <v>0.56111111111111112</v>
      </c>
      <c r="G389">
        <v>16007.8</v>
      </c>
      <c r="H389">
        <v>16007.8</v>
      </c>
      <c r="I389">
        <v>16047.04</v>
      </c>
      <c r="J389" t="s">
        <v>15</v>
      </c>
      <c r="K389">
        <v>-11.21</v>
      </c>
      <c r="L389" s="9">
        <v>-1</v>
      </c>
      <c r="M389">
        <v>0</v>
      </c>
      <c r="N389">
        <v>3</v>
      </c>
    </row>
    <row r="390" spans="1:14" x14ac:dyDescent="0.2">
      <c r="A390" s="1">
        <v>45257</v>
      </c>
      <c r="B390">
        <v>1</v>
      </c>
      <c r="C390" t="s">
        <v>16</v>
      </c>
      <c r="D390" s="2">
        <v>0.41944444444444445</v>
      </c>
      <c r="E390">
        <v>15971.79</v>
      </c>
      <c r="F390" s="2">
        <v>0.42291666666666666</v>
      </c>
      <c r="G390">
        <v>15999.74</v>
      </c>
      <c r="H390">
        <v>15960.61</v>
      </c>
      <c r="I390">
        <v>15999.74</v>
      </c>
      <c r="J390" t="s">
        <v>14</v>
      </c>
      <c r="K390">
        <v>27.95</v>
      </c>
      <c r="L390" s="9">
        <v>2.5</v>
      </c>
      <c r="M390">
        <v>1</v>
      </c>
      <c r="N390">
        <v>0</v>
      </c>
    </row>
    <row r="391" spans="1:14" x14ac:dyDescent="0.2">
      <c r="A391" s="1">
        <v>45259</v>
      </c>
      <c r="B391">
        <v>3</v>
      </c>
      <c r="C391" t="s">
        <v>16</v>
      </c>
      <c r="D391" s="2">
        <v>0.40208333333333335</v>
      </c>
      <c r="E391">
        <v>16152.95</v>
      </c>
      <c r="F391" s="2">
        <v>0.41875000000000001</v>
      </c>
      <c r="G391">
        <v>16141.64</v>
      </c>
      <c r="H391">
        <v>16141.64</v>
      </c>
      <c r="I391">
        <v>16181.22</v>
      </c>
      <c r="J391" t="s">
        <v>15</v>
      </c>
      <c r="K391">
        <v>-11.31</v>
      </c>
      <c r="L391" s="9">
        <v>-1</v>
      </c>
      <c r="M391">
        <v>0</v>
      </c>
      <c r="N391">
        <v>0</v>
      </c>
    </row>
    <row r="392" spans="1:14" x14ac:dyDescent="0.2">
      <c r="A392" s="1">
        <v>45259</v>
      </c>
      <c r="B392">
        <v>3</v>
      </c>
      <c r="C392" t="s">
        <v>13</v>
      </c>
      <c r="D392" s="2">
        <v>0.42499999999999999</v>
      </c>
      <c r="E392">
        <v>16084.57</v>
      </c>
      <c r="F392" s="2">
        <v>0.43055555555555558</v>
      </c>
      <c r="G392">
        <v>16056.42</v>
      </c>
      <c r="H392">
        <v>16095.83</v>
      </c>
      <c r="I392">
        <v>16056.42</v>
      </c>
      <c r="J392" t="s">
        <v>14</v>
      </c>
      <c r="K392">
        <v>28.15</v>
      </c>
      <c r="L392" s="9">
        <v>2.5</v>
      </c>
      <c r="M392">
        <v>1</v>
      </c>
      <c r="N392">
        <v>0</v>
      </c>
    </row>
    <row r="393" spans="1:14" x14ac:dyDescent="0.2">
      <c r="A393" s="1">
        <v>45259</v>
      </c>
      <c r="B393">
        <v>3</v>
      </c>
      <c r="C393" t="s">
        <v>13</v>
      </c>
      <c r="D393" s="2">
        <v>0.4465277777777778</v>
      </c>
      <c r="E393">
        <v>16058.58</v>
      </c>
      <c r="F393" s="2">
        <v>0.4513888888888889</v>
      </c>
      <c r="G393">
        <v>16069.82</v>
      </c>
      <c r="H393">
        <v>16069.82</v>
      </c>
      <c r="I393">
        <v>16030.48</v>
      </c>
      <c r="J393" t="s">
        <v>15</v>
      </c>
      <c r="K393">
        <v>-11.24</v>
      </c>
      <c r="L393" s="9">
        <v>-1</v>
      </c>
      <c r="M393">
        <v>0</v>
      </c>
      <c r="N393">
        <v>0</v>
      </c>
    </row>
    <row r="394" spans="1:14" x14ac:dyDescent="0.2">
      <c r="A394" s="1">
        <v>45260</v>
      </c>
      <c r="B394">
        <v>4</v>
      </c>
      <c r="C394" t="s">
        <v>13</v>
      </c>
      <c r="D394" s="2">
        <v>0.40555555555555556</v>
      </c>
      <c r="E394">
        <v>15945.34</v>
      </c>
      <c r="F394" s="2">
        <v>0.40763888888888888</v>
      </c>
      <c r="G394">
        <v>15917.43</v>
      </c>
      <c r="H394">
        <v>15956.5</v>
      </c>
      <c r="I394">
        <v>15917.43</v>
      </c>
      <c r="J394" t="s">
        <v>14</v>
      </c>
      <c r="K394">
        <v>27.9</v>
      </c>
      <c r="L394" s="9">
        <v>2.5</v>
      </c>
      <c r="M394">
        <v>1</v>
      </c>
      <c r="N394">
        <v>0</v>
      </c>
    </row>
    <row r="395" spans="1:14" x14ac:dyDescent="0.2">
      <c r="A395" s="1">
        <v>45260</v>
      </c>
      <c r="B395">
        <v>4</v>
      </c>
      <c r="C395" t="s">
        <v>13</v>
      </c>
      <c r="D395" s="2">
        <v>0.44722222222222224</v>
      </c>
      <c r="E395">
        <v>15875.56</v>
      </c>
      <c r="F395" s="2">
        <v>0.45763888888888887</v>
      </c>
      <c r="G395">
        <v>15886.67</v>
      </c>
      <c r="H395">
        <v>15886.67</v>
      </c>
      <c r="I395">
        <v>15847.78</v>
      </c>
      <c r="J395" t="s">
        <v>15</v>
      </c>
      <c r="K395">
        <v>-11.11</v>
      </c>
      <c r="L395" s="9">
        <v>-1</v>
      </c>
      <c r="M395">
        <v>0</v>
      </c>
      <c r="N395">
        <v>0</v>
      </c>
    </row>
    <row r="396" spans="1:14" x14ac:dyDescent="0.2">
      <c r="A396" s="1">
        <v>45264</v>
      </c>
      <c r="B396">
        <v>1</v>
      </c>
      <c r="C396" t="s">
        <v>13</v>
      </c>
      <c r="D396" s="2">
        <v>0.40833333333333333</v>
      </c>
      <c r="E396">
        <v>15809.69</v>
      </c>
      <c r="F396" s="2">
        <v>0.41180555555555554</v>
      </c>
      <c r="G396">
        <v>15820.76</v>
      </c>
      <c r="H396">
        <v>15820.76</v>
      </c>
      <c r="I396">
        <v>15782.03</v>
      </c>
      <c r="J396" t="s">
        <v>15</v>
      </c>
      <c r="K396">
        <v>-11.07</v>
      </c>
      <c r="L396" s="9">
        <v>-1</v>
      </c>
      <c r="M396">
        <v>0</v>
      </c>
      <c r="N396">
        <v>2</v>
      </c>
    </row>
    <row r="397" spans="1:14" x14ac:dyDescent="0.2">
      <c r="A397" s="1">
        <v>45264</v>
      </c>
      <c r="B397">
        <v>1</v>
      </c>
      <c r="C397" t="s">
        <v>13</v>
      </c>
      <c r="D397" s="2">
        <v>0.43055555555555558</v>
      </c>
      <c r="E397">
        <v>15781.81</v>
      </c>
      <c r="F397" s="2">
        <v>0.43194444444444446</v>
      </c>
      <c r="G397">
        <v>15754.19</v>
      </c>
      <c r="H397">
        <v>15792.86</v>
      </c>
      <c r="I397">
        <v>15754.19</v>
      </c>
      <c r="J397" t="s">
        <v>14</v>
      </c>
      <c r="K397">
        <v>27.62</v>
      </c>
      <c r="L397" s="9">
        <v>2.5</v>
      </c>
      <c r="M397">
        <v>1</v>
      </c>
      <c r="N397">
        <v>0</v>
      </c>
    </row>
    <row r="398" spans="1:14" x14ac:dyDescent="0.2">
      <c r="A398" s="1">
        <v>45265</v>
      </c>
      <c r="B398">
        <v>2</v>
      </c>
      <c r="C398" t="s">
        <v>16</v>
      </c>
      <c r="D398" s="2">
        <v>0.41041666666666665</v>
      </c>
      <c r="E398">
        <v>15808.29</v>
      </c>
      <c r="F398" s="2">
        <v>0.41666666666666669</v>
      </c>
      <c r="G398">
        <v>15835.95</v>
      </c>
      <c r="H398">
        <v>15797.22</v>
      </c>
      <c r="I398">
        <v>15835.95</v>
      </c>
      <c r="J398" t="s">
        <v>14</v>
      </c>
      <c r="K398">
        <v>27.66</v>
      </c>
      <c r="L398" s="9">
        <v>2.5</v>
      </c>
      <c r="M398">
        <v>1</v>
      </c>
      <c r="N398">
        <v>2</v>
      </c>
    </row>
    <row r="399" spans="1:14" x14ac:dyDescent="0.2">
      <c r="A399" s="1">
        <v>45265</v>
      </c>
      <c r="B399">
        <v>2</v>
      </c>
      <c r="C399" t="s">
        <v>16</v>
      </c>
      <c r="D399" s="2">
        <v>0.44513888888888886</v>
      </c>
      <c r="E399">
        <v>15888.14</v>
      </c>
      <c r="F399" s="2">
        <v>0.44861111111111113</v>
      </c>
      <c r="G399">
        <v>15915.94</v>
      </c>
      <c r="H399">
        <v>15877.02</v>
      </c>
      <c r="I399">
        <v>15915.94</v>
      </c>
      <c r="J399" t="s">
        <v>14</v>
      </c>
      <c r="K399">
        <v>27.8</v>
      </c>
      <c r="L399" s="9">
        <v>2.5</v>
      </c>
      <c r="M399">
        <v>1</v>
      </c>
      <c r="N399">
        <v>3</v>
      </c>
    </row>
    <row r="400" spans="1:14" x14ac:dyDescent="0.2">
      <c r="A400" s="1">
        <v>45267</v>
      </c>
      <c r="B400">
        <v>4</v>
      </c>
      <c r="C400" t="s">
        <v>16</v>
      </c>
      <c r="D400" s="2">
        <v>0.42916666666666664</v>
      </c>
      <c r="E400">
        <v>15943.21</v>
      </c>
      <c r="F400" s="2">
        <v>0.43194444444444446</v>
      </c>
      <c r="G400">
        <v>15971.11</v>
      </c>
      <c r="H400">
        <v>15932.05</v>
      </c>
      <c r="I400">
        <v>15971.11</v>
      </c>
      <c r="J400" t="s">
        <v>14</v>
      </c>
      <c r="K400">
        <v>27.9</v>
      </c>
      <c r="L400" s="9">
        <v>2.5</v>
      </c>
      <c r="M400">
        <v>1</v>
      </c>
      <c r="N400">
        <v>4</v>
      </c>
    </row>
    <row r="401" spans="1:14" x14ac:dyDescent="0.2">
      <c r="A401" s="1">
        <v>45268</v>
      </c>
      <c r="B401">
        <v>5</v>
      </c>
      <c r="C401" t="s">
        <v>16</v>
      </c>
      <c r="D401" s="2">
        <v>0.40625</v>
      </c>
      <c r="E401">
        <v>15987.62</v>
      </c>
      <c r="F401" s="2">
        <v>0.41180555555555554</v>
      </c>
      <c r="G401">
        <v>15976.42</v>
      </c>
      <c r="H401">
        <v>15976.42</v>
      </c>
      <c r="I401">
        <v>16015.59</v>
      </c>
      <c r="J401" t="s">
        <v>15</v>
      </c>
      <c r="K401">
        <v>-11.19</v>
      </c>
      <c r="L401" s="9">
        <v>-1</v>
      </c>
      <c r="M401">
        <v>0</v>
      </c>
      <c r="N401">
        <v>0</v>
      </c>
    </row>
    <row r="402" spans="1:14" x14ac:dyDescent="0.2">
      <c r="A402" s="1">
        <v>45268</v>
      </c>
      <c r="B402">
        <v>5</v>
      </c>
      <c r="C402" t="s">
        <v>16</v>
      </c>
      <c r="D402" s="2">
        <v>0.42569444444444443</v>
      </c>
      <c r="E402">
        <v>16060.87</v>
      </c>
      <c r="F402" s="2">
        <v>0.42777777777777776</v>
      </c>
      <c r="G402">
        <v>16088.97</v>
      </c>
      <c r="H402">
        <v>16049.62</v>
      </c>
      <c r="I402">
        <v>16088.97</v>
      </c>
      <c r="J402" t="s">
        <v>14</v>
      </c>
      <c r="K402">
        <v>28.11</v>
      </c>
      <c r="L402" s="9">
        <v>2.5</v>
      </c>
      <c r="M402">
        <v>1</v>
      </c>
      <c r="N402">
        <v>0</v>
      </c>
    </row>
    <row r="403" spans="1:14" x14ac:dyDescent="0.2">
      <c r="A403" s="1">
        <v>45271</v>
      </c>
      <c r="B403">
        <v>1</v>
      </c>
      <c r="C403" t="s">
        <v>16</v>
      </c>
      <c r="D403" s="2">
        <v>0.40347222222222223</v>
      </c>
      <c r="E403">
        <v>16113.15</v>
      </c>
      <c r="F403" s="2">
        <v>0.40694444444444444</v>
      </c>
      <c r="G403">
        <v>16141.34</v>
      </c>
      <c r="H403">
        <v>16101.87</v>
      </c>
      <c r="I403">
        <v>16141.34</v>
      </c>
      <c r="J403" t="s">
        <v>14</v>
      </c>
      <c r="K403">
        <v>28.2</v>
      </c>
      <c r="L403" s="9">
        <v>2.5</v>
      </c>
      <c r="M403">
        <v>1</v>
      </c>
      <c r="N403">
        <v>2</v>
      </c>
    </row>
    <row r="404" spans="1:14" x14ac:dyDescent="0.2">
      <c r="A404" s="1">
        <v>45271</v>
      </c>
      <c r="B404">
        <v>1</v>
      </c>
      <c r="C404" t="s">
        <v>16</v>
      </c>
      <c r="D404" s="2">
        <v>0.45416666666666666</v>
      </c>
      <c r="E404">
        <v>16178.94</v>
      </c>
      <c r="F404" s="2">
        <v>0.45763888888888887</v>
      </c>
      <c r="G404">
        <v>16167.62</v>
      </c>
      <c r="H404">
        <v>16167.62</v>
      </c>
      <c r="I404">
        <v>16207.26</v>
      </c>
      <c r="J404" t="s">
        <v>15</v>
      </c>
      <c r="K404">
        <v>-11.33</v>
      </c>
      <c r="L404" s="9">
        <v>-1</v>
      </c>
      <c r="M404">
        <v>0</v>
      </c>
      <c r="N404">
        <v>0</v>
      </c>
    </row>
    <row r="405" spans="1:14" x14ac:dyDescent="0.2">
      <c r="A405" s="1">
        <v>45272</v>
      </c>
      <c r="B405">
        <v>2</v>
      </c>
      <c r="C405" t="s">
        <v>13</v>
      </c>
      <c r="D405" s="2">
        <v>0.39791666666666664</v>
      </c>
      <c r="E405">
        <v>16207.98</v>
      </c>
      <c r="F405" s="2">
        <v>0.40486111111111112</v>
      </c>
      <c r="G405">
        <v>16179.61</v>
      </c>
      <c r="H405">
        <v>16219.32</v>
      </c>
      <c r="I405">
        <v>16179.61</v>
      </c>
      <c r="J405" t="s">
        <v>14</v>
      </c>
      <c r="K405">
        <v>28.36</v>
      </c>
      <c r="L405" s="9">
        <v>2.5</v>
      </c>
      <c r="M405">
        <v>1</v>
      </c>
      <c r="N405">
        <v>0</v>
      </c>
    </row>
    <row r="406" spans="1:14" x14ac:dyDescent="0.2">
      <c r="A406" s="1">
        <v>45272</v>
      </c>
      <c r="B406">
        <v>2</v>
      </c>
      <c r="C406" t="s">
        <v>16</v>
      </c>
      <c r="D406" s="2">
        <v>0.41736111111111113</v>
      </c>
      <c r="E406">
        <v>16236.62</v>
      </c>
      <c r="F406" s="2">
        <v>0.42916666666666664</v>
      </c>
      <c r="G406">
        <v>16265.03</v>
      </c>
      <c r="H406">
        <v>16225.25</v>
      </c>
      <c r="I406">
        <v>16265.03</v>
      </c>
      <c r="J406" t="s">
        <v>14</v>
      </c>
      <c r="K406">
        <v>28.41</v>
      </c>
      <c r="L406" s="9">
        <v>2.5</v>
      </c>
      <c r="M406">
        <v>1</v>
      </c>
      <c r="N406">
        <v>2</v>
      </c>
    </row>
    <row r="407" spans="1:14" x14ac:dyDescent="0.2">
      <c r="A407" s="1">
        <v>45272</v>
      </c>
      <c r="B407">
        <v>2</v>
      </c>
      <c r="C407" t="s">
        <v>16</v>
      </c>
      <c r="D407" s="2">
        <v>0.45694444444444443</v>
      </c>
      <c r="E407">
        <v>16261.23</v>
      </c>
      <c r="F407" s="2">
        <v>0.47361111111111109</v>
      </c>
      <c r="G407">
        <v>16289.69</v>
      </c>
      <c r="H407">
        <v>16249.85</v>
      </c>
      <c r="I407">
        <v>16289.69</v>
      </c>
      <c r="J407" t="s">
        <v>14</v>
      </c>
      <c r="K407">
        <v>28.46</v>
      </c>
      <c r="L407" s="9">
        <v>2.5</v>
      </c>
      <c r="M407">
        <v>1</v>
      </c>
      <c r="N407">
        <v>3</v>
      </c>
    </row>
    <row r="408" spans="1:14" x14ac:dyDescent="0.2">
      <c r="A408" s="1">
        <v>45274</v>
      </c>
      <c r="B408">
        <v>4</v>
      </c>
      <c r="C408" t="s">
        <v>16</v>
      </c>
      <c r="D408" s="2">
        <v>0.40902777777777777</v>
      </c>
      <c r="E408">
        <v>16641.96</v>
      </c>
      <c r="F408" s="2">
        <v>0.40972222222222221</v>
      </c>
      <c r="G408">
        <v>16630.310000000001</v>
      </c>
      <c r="H408">
        <v>16630.310000000001</v>
      </c>
      <c r="I408">
        <v>16671.09</v>
      </c>
      <c r="J408" t="s">
        <v>15</v>
      </c>
      <c r="K408">
        <v>-11.65</v>
      </c>
      <c r="L408" s="9">
        <v>-1</v>
      </c>
      <c r="M408">
        <v>0</v>
      </c>
      <c r="N408">
        <v>0</v>
      </c>
    </row>
    <row r="409" spans="1:14" x14ac:dyDescent="0.2">
      <c r="A409" s="1">
        <v>45274</v>
      </c>
      <c r="B409">
        <v>4</v>
      </c>
      <c r="C409" t="s">
        <v>13</v>
      </c>
      <c r="D409" s="2">
        <v>0.42291666666666666</v>
      </c>
      <c r="E409">
        <v>16598.669999999998</v>
      </c>
      <c r="F409" s="2">
        <v>0.4236111111111111</v>
      </c>
      <c r="G409">
        <v>16610.29</v>
      </c>
      <c r="H409">
        <v>16610.29</v>
      </c>
      <c r="I409">
        <v>16569.62</v>
      </c>
      <c r="J409" t="s">
        <v>15</v>
      </c>
      <c r="K409">
        <v>-11.62</v>
      </c>
      <c r="L409" s="9">
        <v>-1</v>
      </c>
      <c r="M409">
        <v>0</v>
      </c>
      <c r="N409">
        <v>2</v>
      </c>
    </row>
    <row r="410" spans="1:14" x14ac:dyDescent="0.2">
      <c r="A410" s="1">
        <v>45278</v>
      </c>
      <c r="B410">
        <v>1</v>
      </c>
      <c r="C410" t="s">
        <v>16</v>
      </c>
      <c r="D410" s="2">
        <v>0.4</v>
      </c>
      <c r="E410">
        <v>16652.27</v>
      </c>
      <c r="F410" s="2">
        <v>0.40763888888888888</v>
      </c>
      <c r="G410">
        <v>16640.62</v>
      </c>
      <c r="H410">
        <v>16640.62</v>
      </c>
      <c r="I410">
        <v>16681.41</v>
      </c>
      <c r="J410" t="s">
        <v>15</v>
      </c>
      <c r="K410">
        <v>-11.66</v>
      </c>
      <c r="L410" s="9">
        <v>-1</v>
      </c>
      <c r="M410">
        <v>0</v>
      </c>
      <c r="N410">
        <v>3</v>
      </c>
    </row>
    <row r="411" spans="1:14" x14ac:dyDescent="0.2">
      <c r="A411" s="1">
        <v>45278</v>
      </c>
      <c r="B411">
        <v>1</v>
      </c>
      <c r="C411" t="s">
        <v>16</v>
      </c>
      <c r="D411" s="2">
        <v>0.42083333333333334</v>
      </c>
      <c r="E411">
        <v>16679.009999999998</v>
      </c>
      <c r="F411" s="2">
        <v>0.42499999999999999</v>
      </c>
      <c r="G411">
        <v>16667.34</v>
      </c>
      <c r="H411">
        <v>16667.34</v>
      </c>
      <c r="I411">
        <v>16708.2</v>
      </c>
      <c r="J411" t="s">
        <v>15</v>
      </c>
      <c r="K411">
        <v>-11.68</v>
      </c>
      <c r="L411" s="9">
        <v>-1</v>
      </c>
      <c r="M411">
        <v>0</v>
      </c>
      <c r="N411">
        <v>4</v>
      </c>
    </row>
    <row r="412" spans="1:14" x14ac:dyDescent="0.2">
      <c r="A412" s="1">
        <v>45278</v>
      </c>
      <c r="B412">
        <v>1</v>
      </c>
      <c r="C412" t="s">
        <v>13</v>
      </c>
      <c r="D412" s="2">
        <v>0.45694444444444443</v>
      </c>
      <c r="E412">
        <v>16659.650000000001</v>
      </c>
      <c r="F412" s="2">
        <v>0.46666666666666667</v>
      </c>
      <c r="G412">
        <v>16671.310000000001</v>
      </c>
      <c r="H412">
        <v>16671.310000000001</v>
      </c>
      <c r="I412">
        <v>16630.5</v>
      </c>
      <c r="J412" t="s">
        <v>15</v>
      </c>
      <c r="K412">
        <v>-11.66</v>
      </c>
      <c r="L412" s="9">
        <v>-1</v>
      </c>
      <c r="M412">
        <v>0</v>
      </c>
      <c r="N412">
        <v>5</v>
      </c>
    </row>
    <row r="413" spans="1:14" x14ac:dyDescent="0.2">
      <c r="A413" s="1">
        <v>45279</v>
      </c>
      <c r="B413">
        <v>2</v>
      </c>
      <c r="C413" t="s">
        <v>16</v>
      </c>
      <c r="D413" s="2">
        <v>0.42986111111111114</v>
      </c>
      <c r="E413">
        <v>16779.28</v>
      </c>
      <c r="F413" s="2">
        <v>0.44374999999999998</v>
      </c>
      <c r="G413">
        <v>16767.54</v>
      </c>
      <c r="H413">
        <v>16767.54</v>
      </c>
      <c r="I413">
        <v>16808.650000000001</v>
      </c>
      <c r="J413" t="s">
        <v>15</v>
      </c>
      <c r="K413">
        <v>-11.75</v>
      </c>
      <c r="L413" s="9">
        <v>-1</v>
      </c>
      <c r="M413">
        <v>0</v>
      </c>
      <c r="N413">
        <v>6</v>
      </c>
    </row>
    <row r="414" spans="1:14" x14ac:dyDescent="0.2">
      <c r="A414" s="1">
        <v>45279</v>
      </c>
      <c r="B414">
        <v>2</v>
      </c>
      <c r="C414" t="s">
        <v>13</v>
      </c>
      <c r="D414" s="2">
        <v>0.45</v>
      </c>
      <c r="E414">
        <v>16762.939999999999</v>
      </c>
      <c r="F414" s="2">
        <v>0.45069444444444445</v>
      </c>
      <c r="G414">
        <v>16774.68</v>
      </c>
      <c r="H414">
        <v>16774.68</v>
      </c>
      <c r="I414">
        <v>16733.61</v>
      </c>
      <c r="J414" t="s">
        <v>15</v>
      </c>
      <c r="K414">
        <v>-11.73</v>
      </c>
      <c r="L414" s="9">
        <v>-1</v>
      </c>
      <c r="M414">
        <v>0</v>
      </c>
      <c r="N414">
        <v>7</v>
      </c>
    </row>
    <row r="415" spans="1:14" x14ac:dyDescent="0.2">
      <c r="A415" s="1">
        <v>45281</v>
      </c>
      <c r="B415">
        <v>4</v>
      </c>
      <c r="C415" t="s">
        <v>13</v>
      </c>
      <c r="D415" s="2">
        <v>0.41666666666666669</v>
      </c>
      <c r="E415">
        <v>16698.009999999998</v>
      </c>
      <c r="F415" s="2">
        <v>0.42083333333333334</v>
      </c>
      <c r="G415">
        <v>16668.79</v>
      </c>
      <c r="H415">
        <v>16709.7</v>
      </c>
      <c r="I415">
        <v>16668.79</v>
      </c>
      <c r="J415" t="s">
        <v>14</v>
      </c>
      <c r="K415">
        <v>29.22</v>
      </c>
      <c r="L415" s="9">
        <v>2.5</v>
      </c>
      <c r="M415">
        <v>1</v>
      </c>
      <c r="N415">
        <v>0</v>
      </c>
    </row>
    <row r="416" spans="1:14" x14ac:dyDescent="0.2">
      <c r="A416" s="1">
        <v>45281</v>
      </c>
      <c r="B416">
        <v>4</v>
      </c>
      <c r="C416" t="s">
        <v>13</v>
      </c>
      <c r="D416" s="2">
        <v>0.4548611111111111</v>
      </c>
      <c r="E416">
        <v>16670.669999999998</v>
      </c>
      <c r="F416" s="2">
        <v>0.45833333333333331</v>
      </c>
      <c r="G416">
        <v>16682.34</v>
      </c>
      <c r="H416">
        <v>16682.34</v>
      </c>
      <c r="I416">
        <v>16641.5</v>
      </c>
      <c r="J416" t="s">
        <v>15</v>
      </c>
      <c r="K416">
        <v>-11.67</v>
      </c>
      <c r="L416" s="9">
        <v>-1</v>
      </c>
      <c r="M416">
        <v>0</v>
      </c>
      <c r="N416">
        <v>0</v>
      </c>
    </row>
    <row r="417" spans="1:14" x14ac:dyDescent="0.2">
      <c r="A417" s="1">
        <v>45286</v>
      </c>
      <c r="B417">
        <v>2</v>
      </c>
      <c r="C417" t="s">
        <v>16</v>
      </c>
      <c r="D417" s="2">
        <v>0.40069444444444446</v>
      </c>
      <c r="E417">
        <v>16831.580000000002</v>
      </c>
      <c r="F417" s="2">
        <v>0.44374999999999998</v>
      </c>
      <c r="G417">
        <v>16861.04</v>
      </c>
      <c r="H417">
        <v>16819.8</v>
      </c>
      <c r="I417">
        <v>16861.04</v>
      </c>
      <c r="J417" t="s">
        <v>14</v>
      </c>
      <c r="K417">
        <v>29.46</v>
      </c>
      <c r="L417" s="9">
        <v>2.5</v>
      </c>
      <c r="M417">
        <v>1</v>
      </c>
      <c r="N417">
        <v>0</v>
      </c>
    </row>
    <row r="418" spans="1:14" x14ac:dyDescent="0.2">
      <c r="A418" s="1">
        <v>45287</v>
      </c>
      <c r="B418">
        <v>3</v>
      </c>
      <c r="C418" t="s">
        <v>16</v>
      </c>
      <c r="D418" s="2">
        <v>0.41666666666666669</v>
      </c>
      <c r="E418">
        <v>16915.82</v>
      </c>
      <c r="F418" s="2">
        <v>0.42152777777777778</v>
      </c>
      <c r="G418">
        <v>16903.98</v>
      </c>
      <c r="H418">
        <v>16903.98</v>
      </c>
      <c r="I418">
        <v>16945.419999999998</v>
      </c>
      <c r="J418" t="s">
        <v>15</v>
      </c>
      <c r="K418">
        <v>-11.84</v>
      </c>
      <c r="L418" s="9">
        <v>-1</v>
      </c>
      <c r="M418">
        <v>0</v>
      </c>
      <c r="N418">
        <v>0</v>
      </c>
    </row>
    <row r="419" spans="1:14" x14ac:dyDescent="0.2">
      <c r="A419" s="1">
        <v>45287</v>
      </c>
      <c r="B419">
        <v>3</v>
      </c>
      <c r="C419" t="s">
        <v>13</v>
      </c>
      <c r="D419" s="2">
        <v>0.42916666666666664</v>
      </c>
      <c r="E419">
        <v>16872.09</v>
      </c>
      <c r="F419" s="2">
        <v>0.43472222222222223</v>
      </c>
      <c r="G419">
        <v>16883.900000000001</v>
      </c>
      <c r="H419">
        <v>16883.900000000001</v>
      </c>
      <c r="I419">
        <v>16842.560000000001</v>
      </c>
      <c r="J419" t="s">
        <v>15</v>
      </c>
      <c r="K419">
        <v>-11.81</v>
      </c>
      <c r="L419" s="9">
        <v>-1</v>
      </c>
      <c r="M419">
        <v>0</v>
      </c>
      <c r="N419">
        <v>2</v>
      </c>
    </row>
    <row r="420" spans="1:14" x14ac:dyDescent="0.2">
      <c r="A420" s="1">
        <v>45287</v>
      </c>
      <c r="B420">
        <v>3</v>
      </c>
      <c r="C420" t="s">
        <v>13</v>
      </c>
      <c r="D420" s="2">
        <v>0.44236111111111109</v>
      </c>
      <c r="E420">
        <v>16870.599999999999</v>
      </c>
      <c r="F420" s="2">
        <v>0.48055555555555557</v>
      </c>
      <c r="G420">
        <v>16882.41</v>
      </c>
      <c r="H420">
        <v>16882.41</v>
      </c>
      <c r="I420">
        <v>16841.07</v>
      </c>
      <c r="J420" t="s">
        <v>15</v>
      </c>
      <c r="K420">
        <v>-11.81</v>
      </c>
      <c r="L420" s="9">
        <v>-1</v>
      </c>
      <c r="M420">
        <v>0</v>
      </c>
      <c r="N420">
        <v>3</v>
      </c>
    </row>
    <row r="421" spans="1:14" x14ac:dyDescent="0.2">
      <c r="A421" s="1">
        <v>45288</v>
      </c>
      <c r="B421">
        <v>4</v>
      </c>
      <c r="C421" t="s">
        <v>13</v>
      </c>
      <c r="D421" s="2">
        <v>0.40347222222222223</v>
      </c>
      <c r="E421">
        <v>16943.099999999999</v>
      </c>
      <c r="F421" s="2">
        <v>0.45069444444444445</v>
      </c>
      <c r="G421">
        <v>16954.96</v>
      </c>
      <c r="H421">
        <v>16954.96</v>
      </c>
      <c r="I421">
        <v>16913.45</v>
      </c>
      <c r="J421" t="s">
        <v>15</v>
      </c>
      <c r="K421">
        <v>-11.86</v>
      </c>
      <c r="L421" s="9">
        <v>-1</v>
      </c>
      <c r="M421">
        <v>0</v>
      </c>
      <c r="N421">
        <v>4</v>
      </c>
    </row>
    <row r="422" spans="1:14" x14ac:dyDescent="0.2">
      <c r="A422" s="1">
        <v>45288</v>
      </c>
      <c r="B422">
        <v>4</v>
      </c>
      <c r="C422" t="s">
        <v>16</v>
      </c>
      <c r="D422" s="2">
        <v>0.45277777777777778</v>
      </c>
      <c r="E422">
        <v>16953.63</v>
      </c>
      <c r="F422" s="2">
        <v>0.45624999999999999</v>
      </c>
      <c r="G422">
        <v>16941.759999999998</v>
      </c>
      <c r="H422">
        <v>16941.759999999998</v>
      </c>
      <c r="I422">
        <v>16983.3</v>
      </c>
      <c r="J422" t="s">
        <v>15</v>
      </c>
      <c r="K422">
        <v>-11.87</v>
      </c>
      <c r="L422" s="9">
        <v>-1</v>
      </c>
      <c r="M422">
        <v>0</v>
      </c>
      <c r="N422">
        <v>5</v>
      </c>
    </row>
    <row r="423" spans="1:14" x14ac:dyDescent="0.2">
      <c r="A423" s="1">
        <v>45289</v>
      </c>
      <c r="B423">
        <v>5</v>
      </c>
      <c r="C423" t="s">
        <v>16</v>
      </c>
      <c r="D423" s="2">
        <v>0.4152777777777778</v>
      </c>
      <c r="E423">
        <v>16916.66</v>
      </c>
      <c r="F423" s="2">
        <v>0.41666666666666669</v>
      </c>
      <c r="G423">
        <v>16904.82</v>
      </c>
      <c r="H423">
        <v>16904.82</v>
      </c>
      <c r="I423">
        <v>16946.27</v>
      </c>
      <c r="J423" t="s">
        <v>15</v>
      </c>
      <c r="K423">
        <v>-11.84</v>
      </c>
      <c r="L423" s="9">
        <v>-1</v>
      </c>
      <c r="M423">
        <v>0</v>
      </c>
      <c r="N423">
        <v>6</v>
      </c>
    </row>
    <row r="424" spans="1:14" x14ac:dyDescent="0.2">
      <c r="A424" s="1">
        <v>45289</v>
      </c>
      <c r="B424">
        <v>5</v>
      </c>
      <c r="C424" t="s">
        <v>13</v>
      </c>
      <c r="D424" s="2">
        <v>0.43333333333333335</v>
      </c>
      <c r="E424">
        <v>16902.88</v>
      </c>
      <c r="F424" s="2">
        <v>0.44513888888888886</v>
      </c>
      <c r="G424">
        <v>16873.3</v>
      </c>
      <c r="H424">
        <v>16914.71</v>
      </c>
      <c r="I424">
        <v>16873.3</v>
      </c>
      <c r="J424" t="s">
        <v>14</v>
      </c>
      <c r="K424">
        <v>29.58</v>
      </c>
      <c r="L424" s="9">
        <v>2.5</v>
      </c>
      <c r="M424">
        <v>1</v>
      </c>
      <c r="N424">
        <v>0</v>
      </c>
    </row>
    <row r="425" spans="1:14" x14ac:dyDescent="0.2">
      <c r="A425" s="1">
        <v>45293</v>
      </c>
      <c r="B425">
        <v>2</v>
      </c>
      <c r="C425" t="s">
        <v>13</v>
      </c>
      <c r="D425" s="2">
        <v>0.40694444444444444</v>
      </c>
      <c r="E425">
        <v>16593.060000000001</v>
      </c>
      <c r="F425" s="2">
        <v>0.40833333333333333</v>
      </c>
      <c r="G425">
        <v>16564.02</v>
      </c>
      <c r="H425">
        <v>16604.68</v>
      </c>
      <c r="I425">
        <v>16564.02</v>
      </c>
      <c r="J425" t="s">
        <v>14</v>
      </c>
      <c r="K425">
        <v>29.04</v>
      </c>
      <c r="L425" s="9">
        <v>2.5</v>
      </c>
      <c r="M425">
        <v>1</v>
      </c>
      <c r="N425">
        <v>2</v>
      </c>
    </row>
    <row r="426" spans="1:14" x14ac:dyDescent="0.2">
      <c r="A426" s="1">
        <v>45293</v>
      </c>
      <c r="B426">
        <v>2</v>
      </c>
      <c r="C426" t="s">
        <v>13</v>
      </c>
      <c r="D426" s="2">
        <v>0.43958333333333333</v>
      </c>
      <c r="E426">
        <v>16536.12</v>
      </c>
      <c r="F426" s="2">
        <v>0.46111111111111114</v>
      </c>
      <c r="G426">
        <v>16547.7</v>
      </c>
      <c r="H426">
        <v>16547.7</v>
      </c>
      <c r="I426">
        <v>16507.18</v>
      </c>
      <c r="J426" t="s">
        <v>15</v>
      </c>
      <c r="K426">
        <v>-11.58</v>
      </c>
      <c r="L426" s="9">
        <v>-1</v>
      </c>
      <c r="M426">
        <v>0</v>
      </c>
      <c r="N426">
        <v>0</v>
      </c>
    </row>
    <row r="427" spans="1:14" x14ac:dyDescent="0.2">
      <c r="A427" s="1">
        <v>45294</v>
      </c>
      <c r="B427">
        <v>3</v>
      </c>
      <c r="C427" t="s">
        <v>16</v>
      </c>
      <c r="D427" s="2">
        <v>0.40625</v>
      </c>
      <c r="E427">
        <v>16453.12</v>
      </c>
      <c r="F427" s="2">
        <v>0.40694444444444444</v>
      </c>
      <c r="G427">
        <v>16441.61</v>
      </c>
      <c r="H427">
        <v>16441.61</v>
      </c>
      <c r="I427">
        <v>16481.919999999998</v>
      </c>
      <c r="J427" t="s">
        <v>15</v>
      </c>
      <c r="K427">
        <v>-11.52</v>
      </c>
      <c r="L427" s="9">
        <v>-1</v>
      </c>
      <c r="M427">
        <v>0</v>
      </c>
      <c r="N427">
        <v>2</v>
      </c>
    </row>
    <row r="428" spans="1:14" x14ac:dyDescent="0.2">
      <c r="A428" s="1">
        <v>45294</v>
      </c>
      <c r="B428">
        <v>3</v>
      </c>
      <c r="C428" t="s">
        <v>13</v>
      </c>
      <c r="D428" s="2">
        <v>0.4284722222222222</v>
      </c>
      <c r="E428">
        <v>16402.099999999999</v>
      </c>
      <c r="F428" s="2">
        <v>0.43541666666666667</v>
      </c>
      <c r="G428">
        <v>16413.580000000002</v>
      </c>
      <c r="H428">
        <v>16413.580000000002</v>
      </c>
      <c r="I428">
        <v>16373.39</v>
      </c>
      <c r="J428" t="s">
        <v>15</v>
      </c>
      <c r="K428">
        <v>-11.48</v>
      </c>
      <c r="L428" s="9">
        <v>-1</v>
      </c>
      <c r="M428">
        <v>0</v>
      </c>
      <c r="N428">
        <v>3</v>
      </c>
    </row>
    <row r="429" spans="1:14" x14ac:dyDescent="0.2">
      <c r="A429" s="1">
        <v>45294</v>
      </c>
      <c r="B429">
        <v>3</v>
      </c>
      <c r="C429" t="s">
        <v>13</v>
      </c>
      <c r="D429" s="2">
        <v>0.44583333333333336</v>
      </c>
      <c r="E429">
        <v>16387.07</v>
      </c>
      <c r="F429" s="2">
        <v>0.4465277777777778</v>
      </c>
      <c r="G429">
        <v>16398.55</v>
      </c>
      <c r="H429">
        <v>16398.55</v>
      </c>
      <c r="I429">
        <v>16358.4</v>
      </c>
      <c r="J429" t="s">
        <v>15</v>
      </c>
      <c r="K429">
        <v>-11.47</v>
      </c>
      <c r="L429" s="9">
        <v>-1</v>
      </c>
      <c r="M429">
        <v>0</v>
      </c>
      <c r="N429">
        <v>4</v>
      </c>
    </row>
    <row r="430" spans="1:14" x14ac:dyDescent="0.2">
      <c r="A430" s="1">
        <v>45295</v>
      </c>
      <c r="B430">
        <v>4</v>
      </c>
      <c r="C430" t="s">
        <v>13</v>
      </c>
      <c r="D430" s="2">
        <v>0.39583333333333331</v>
      </c>
      <c r="E430">
        <v>16291.15</v>
      </c>
      <c r="F430" s="2">
        <v>0.39652777777777776</v>
      </c>
      <c r="G430">
        <v>16302.56</v>
      </c>
      <c r="H430">
        <v>16302.56</v>
      </c>
      <c r="I430">
        <v>16262.64</v>
      </c>
      <c r="J430" t="s">
        <v>15</v>
      </c>
      <c r="K430">
        <v>-11.4</v>
      </c>
      <c r="L430" s="9">
        <v>-1</v>
      </c>
      <c r="M430">
        <v>0</v>
      </c>
      <c r="N430">
        <v>5</v>
      </c>
    </row>
    <row r="431" spans="1:14" x14ac:dyDescent="0.2">
      <c r="A431" s="1">
        <v>45295</v>
      </c>
      <c r="B431">
        <v>4</v>
      </c>
      <c r="C431" t="s">
        <v>16</v>
      </c>
      <c r="D431" s="2">
        <v>0.42430555555555555</v>
      </c>
      <c r="E431">
        <v>16340.52</v>
      </c>
      <c r="F431" s="2">
        <v>0.42916666666666664</v>
      </c>
      <c r="G431">
        <v>16369.12</v>
      </c>
      <c r="H431">
        <v>16329.08</v>
      </c>
      <c r="I431">
        <v>16369.12</v>
      </c>
      <c r="J431" t="s">
        <v>14</v>
      </c>
      <c r="K431">
        <v>28.6</v>
      </c>
      <c r="L431" s="9">
        <v>2.5</v>
      </c>
      <c r="M431">
        <v>1</v>
      </c>
      <c r="N431">
        <v>0</v>
      </c>
    </row>
    <row r="432" spans="1:14" x14ac:dyDescent="0.2">
      <c r="A432" s="1">
        <v>45295</v>
      </c>
      <c r="B432">
        <v>4</v>
      </c>
      <c r="C432" t="s">
        <v>16</v>
      </c>
      <c r="D432" s="2">
        <v>0.45069444444444445</v>
      </c>
      <c r="E432">
        <v>16363.33</v>
      </c>
      <c r="F432" s="2">
        <v>0.46527777777777779</v>
      </c>
      <c r="G432">
        <v>16391.96</v>
      </c>
      <c r="H432">
        <v>16351.87</v>
      </c>
      <c r="I432">
        <v>16391.96</v>
      </c>
      <c r="J432" t="s">
        <v>14</v>
      </c>
      <c r="K432">
        <v>28.64</v>
      </c>
      <c r="L432" s="9">
        <v>2.5</v>
      </c>
      <c r="M432">
        <v>1</v>
      </c>
      <c r="N432">
        <v>2</v>
      </c>
    </row>
    <row r="433" spans="1:14" x14ac:dyDescent="0.2">
      <c r="A433" s="1">
        <v>45296</v>
      </c>
      <c r="B433">
        <v>5</v>
      </c>
      <c r="C433" t="s">
        <v>16</v>
      </c>
      <c r="D433" s="2">
        <v>0.39652777777777776</v>
      </c>
      <c r="E433">
        <v>16289.74</v>
      </c>
      <c r="F433" s="2">
        <v>0.39861111111111114</v>
      </c>
      <c r="G433">
        <v>16318.25</v>
      </c>
      <c r="H433">
        <v>16278.34</v>
      </c>
      <c r="I433">
        <v>16318.25</v>
      </c>
      <c r="J433" t="s">
        <v>14</v>
      </c>
      <c r="K433">
        <v>28.51</v>
      </c>
      <c r="L433" s="9">
        <v>2.5</v>
      </c>
      <c r="M433">
        <v>1</v>
      </c>
      <c r="N433">
        <v>3</v>
      </c>
    </row>
    <row r="434" spans="1:14" x14ac:dyDescent="0.2">
      <c r="A434" s="1">
        <v>45296</v>
      </c>
      <c r="B434">
        <v>5</v>
      </c>
      <c r="C434" t="s">
        <v>16</v>
      </c>
      <c r="D434" s="2">
        <v>0.42222222222222222</v>
      </c>
      <c r="E434">
        <v>16383.38</v>
      </c>
      <c r="F434" s="2">
        <v>0.42708333333333331</v>
      </c>
      <c r="G434">
        <v>16371.91</v>
      </c>
      <c r="H434">
        <v>16371.91</v>
      </c>
      <c r="I434">
        <v>16412.05</v>
      </c>
      <c r="J434" t="s">
        <v>15</v>
      </c>
      <c r="K434">
        <v>-11.47</v>
      </c>
      <c r="L434" s="9">
        <v>-1</v>
      </c>
      <c r="M434">
        <v>0</v>
      </c>
      <c r="N434">
        <v>0</v>
      </c>
    </row>
    <row r="435" spans="1:14" x14ac:dyDescent="0.2">
      <c r="A435" s="1">
        <v>45296</v>
      </c>
      <c r="B435">
        <v>5</v>
      </c>
      <c r="C435" t="s">
        <v>16</v>
      </c>
      <c r="D435" s="2">
        <v>0.44374999999999998</v>
      </c>
      <c r="E435">
        <v>16402</v>
      </c>
      <c r="F435" s="2">
        <v>0.44444444444444442</v>
      </c>
      <c r="G435">
        <v>16390.52</v>
      </c>
      <c r="H435">
        <v>16390.52</v>
      </c>
      <c r="I435">
        <v>16430.7</v>
      </c>
      <c r="J435" t="s">
        <v>15</v>
      </c>
      <c r="K435">
        <v>-11.48</v>
      </c>
      <c r="L435" s="9">
        <v>-1</v>
      </c>
      <c r="M435">
        <v>0</v>
      </c>
      <c r="N435">
        <v>2</v>
      </c>
    </row>
    <row r="436" spans="1:14" x14ac:dyDescent="0.2">
      <c r="A436" s="1">
        <v>45299</v>
      </c>
      <c r="B436">
        <v>1</v>
      </c>
      <c r="C436" t="s">
        <v>16</v>
      </c>
      <c r="D436" s="2">
        <v>0.4</v>
      </c>
      <c r="E436">
        <v>16386.47</v>
      </c>
      <c r="F436" s="2">
        <v>0.40277777777777779</v>
      </c>
      <c r="G436">
        <v>16415.150000000001</v>
      </c>
      <c r="H436">
        <v>16375</v>
      </c>
      <c r="I436">
        <v>16415.150000000001</v>
      </c>
      <c r="J436" t="s">
        <v>14</v>
      </c>
      <c r="K436">
        <v>28.68</v>
      </c>
      <c r="L436" s="9">
        <v>2.5</v>
      </c>
      <c r="M436">
        <v>1</v>
      </c>
      <c r="N436">
        <v>0</v>
      </c>
    </row>
    <row r="437" spans="1:14" x14ac:dyDescent="0.2">
      <c r="A437" s="1">
        <v>45300</v>
      </c>
      <c r="B437">
        <v>2</v>
      </c>
      <c r="C437" t="s">
        <v>16</v>
      </c>
      <c r="D437" s="2">
        <v>0.39930555555555558</v>
      </c>
      <c r="E437">
        <v>16542.330000000002</v>
      </c>
      <c r="F437" s="2">
        <v>0.4</v>
      </c>
      <c r="G437">
        <v>16530.75</v>
      </c>
      <c r="H437">
        <v>16530.75</v>
      </c>
      <c r="I437">
        <v>16571.27</v>
      </c>
      <c r="J437" t="s">
        <v>15</v>
      </c>
      <c r="K437">
        <v>-11.58</v>
      </c>
      <c r="L437" s="9">
        <v>-1</v>
      </c>
      <c r="M437">
        <v>0</v>
      </c>
      <c r="N437">
        <v>0</v>
      </c>
    </row>
    <row r="438" spans="1:14" x14ac:dyDescent="0.2">
      <c r="A438" s="1">
        <v>45300</v>
      </c>
      <c r="B438">
        <v>2</v>
      </c>
      <c r="C438" t="s">
        <v>16</v>
      </c>
      <c r="D438" s="2">
        <v>0.42708333333333331</v>
      </c>
      <c r="E438">
        <v>16572.34</v>
      </c>
      <c r="F438" s="2">
        <v>0.43888888888888888</v>
      </c>
      <c r="G438">
        <v>16560.740000000002</v>
      </c>
      <c r="H438">
        <v>16560.740000000002</v>
      </c>
      <c r="I438">
        <v>16601.34</v>
      </c>
      <c r="J438" t="s">
        <v>15</v>
      </c>
      <c r="K438">
        <v>-11.6</v>
      </c>
      <c r="L438" s="9">
        <v>-1</v>
      </c>
      <c r="M438">
        <v>0</v>
      </c>
      <c r="N438">
        <v>2</v>
      </c>
    </row>
    <row r="439" spans="1:14" x14ac:dyDescent="0.2">
      <c r="A439" s="1">
        <v>45300</v>
      </c>
      <c r="B439">
        <v>2</v>
      </c>
      <c r="C439" t="s">
        <v>16</v>
      </c>
      <c r="D439" s="2">
        <v>0.44791666666666669</v>
      </c>
      <c r="E439">
        <v>16587.53</v>
      </c>
      <c r="F439" s="2">
        <v>0.45416666666666666</v>
      </c>
      <c r="G439">
        <v>16575.919999999998</v>
      </c>
      <c r="H439">
        <v>16575.919999999998</v>
      </c>
      <c r="I439">
        <v>16616.560000000001</v>
      </c>
      <c r="J439" t="s">
        <v>15</v>
      </c>
      <c r="K439">
        <v>-11.61</v>
      </c>
      <c r="L439" s="9">
        <v>-1</v>
      </c>
      <c r="M439">
        <v>0</v>
      </c>
      <c r="N439">
        <v>3</v>
      </c>
    </row>
    <row r="440" spans="1:14" x14ac:dyDescent="0.2">
      <c r="A440" s="1">
        <v>45301</v>
      </c>
      <c r="B440">
        <v>3</v>
      </c>
      <c r="C440" t="s">
        <v>16</v>
      </c>
      <c r="D440" s="2">
        <v>0.39861111111111114</v>
      </c>
      <c r="E440">
        <v>16702.07</v>
      </c>
      <c r="F440" s="2">
        <v>0.40763888888888888</v>
      </c>
      <c r="G440">
        <v>16690.38</v>
      </c>
      <c r="H440">
        <v>16690.38</v>
      </c>
      <c r="I440">
        <v>16731.3</v>
      </c>
      <c r="J440" t="s">
        <v>15</v>
      </c>
      <c r="K440">
        <v>-11.69</v>
      </c>
      <c r="L440" s="9">
        <v>-1</v>
      </c>
      <c r="M440">
        <v>0</v>
      </c>
      <c r="N440">
        <v>4</v>
      </c>
    </row>
    <row r="441" spans="1:14" x14ac:dyDescent="0.2">
      <c r="A441" s="1">
        <v>45301</v>
      </c>
      <c r="B441">
        <v>3</v>
      </c>
      <c r="C441" t="s">
        <v>13</v>
      </c>
      <c r="D441" s="2">
        <v>0.4152777777777778</v>
      </c>
      <c r="E441">
        <v>16669.66</v>
      </c>
      <c r="F441" s="2">
        <v>0.41597222222222224</v>
      </c>
      <c r="G441">
        <v>16681.330000000002</v>
      </c>
      <c r="H441">
        <v>16681.330000000002</v>
      </c>
      <c r="I441">
        <v>16640.490000000002</v>
      </c>
      <c r="J441" t="s">
        <v>15</v>
      </c>
      <c r="K441">
        <v>-11.67</v>
      </c>
      <c r="L441" s="9">
        <v>-1</v>
      </c>
      <c r="M441">
        <v>0</v>
      </c>
      <c r="N441">
        <v>5</v>
      </c>
    </row>
    <row r="442" spans="1:14" x14ac:dyDescent="0.2">
      <c r="A442" s="1">
        <v>45301</v>
      </c>
      <c r="B442">
        <v>3</v>
      </c>
      <c r="C442" t="s">
        <v>16</v>
      </c>
      <c r="D442" s="2">
        <v>0.43888888888888888</v>
      </c>
      <c r="E442">
        <v>16708.18</v>
      </c>
      <c r="F442" s="2">
        <v>0.44791666666666669</v>
      </c>
      <c r="G442">
        <v>16737.419999999998</v>
      </c>
      <c r="H442">
        <v>16696.48</v>
      </c>
      <c r="I442">
        <v>16737.419999999998</v>
      </c>
      <c r="J442" t="s">
        <v>14</v>
      </c>
      <c r="K442">
        <v>29.24</v>
      </c>
      <c r="L442" s="9">
        <v>2.5</v>
      </c>
      <c r="M442">
        <v>1</v>
      </c>
      <c r="N442">
        <v>0</v>
      </c>
    </row>
    <row r="443" spans="1:14" x14ac:dyDescent="0.2">
      <c r="A443" s="1">
        <v>45302</v>
      </c>
      <c r="B443">
        <v>4</v>
      </c>
      <c r="C443" t="s">
        <v>16</v>
      </c>
      <c r="D443" s="2">
        <v>0.39583333333333331</v>
      </c>
      <c r="E443">
        <v>16839.34</v>
      </c>
      <c r="F443" s="2">
        <v>0.3972222222222222</v>
      </c>
      <c r="G443">
        <v>16868.810000000001</v>
      </c>
      <c r="H443">
        <v>16827.55</v>
      </c>
      <c r="I443">
        <v>16868.810000000001</v>
      </c>
      <c r="J443" t="s">
        <v>14</v>
      </c>
      <c r="K443">
        <v>29.47</v>
      </c>
      <c r="L443" s="9">
        <v>2.5</v>
      </c>
      <c r="M443">
        <v>1</v>
      </c>
      <c r="N443">
        <v>2</v>
      </c>
    </row>
    <row r="444" spans="1:14" x14ac:dyDescent="0.2">
      <c r="A444" s="1">
        <v>45302</v>
      </c>
      <c r="B444">
        <v>4</v>
      </c>
      <c r="C444" t="s">
        <v>13</v>
      </c>
      <c r="D444" s="2">
        <v>0.42430555555555555</v>
      </c>
      <c r="E444">
        <v>16708.66</v>
      </c>
      <c r="F444" s="2">
        <v>0.42916666666666664</v>
      </c>
      <c r="G444">
        <v>16720.36</v>
      </c>
      <c r="H444">
        <v>16720.36</v>
      </c>
      <c r="I444">
        <v>16679.419999999998</v>
      </c>
      <c r="J444" t="s">
        <v>15</v>
      </c>
      <c r="K444">
        <v>-11.7</v>
      </c>
      <c r="L444" s="9">
        <v>-1</v>
      </c>
      <c r="M444">
        <v>0</v>
      </c>
      <c r="N444">
        <v>0</v>
      </c>
    </row>
    <row r="445" spans="1:14" x14ac:dyDescent="0.2">
      <c r="A445" s="1">
        <v>45302</v>
      </c>
      <c r="B445">
        <v>4</v>
      </c>
      <c r="C445" t="s">
        <v>16</v>
      </c>
      <c r="D445" s="2">
        <v>0.44513888888888886</v>
      </c>
      <c r="E445">
        <v>16754.23</v>
      </c>
      <c r="F445" s="2">
        <v>0.44583333333333336</v>
      </c>
      <c r="G445">
        <v>16742.509999999998</v>
      </c>
      <c r="H445">
        <v>16742.509999999998</v>
      </c>
      <c r="I445">
        <v>16783.55</v>
      </c>
      <c r="J445" t="s">
        <v>15</v>
      </c>
      <c r="K445">
        <v>-11.73</v>
      </c>
      <c r="L445" s="9">
        <v>-1</v>
      </c>
      <c r="M445">
        <v>0</v>
      </c>
      <c r="N445">
        <v>2</v>
      </c>
    </row>
    <row r="446" spans="1:14" x14ac:dyDescent="0.2">
      <c r="A446" s="1">
        <v>45303</v>
      </c>
      <c r="B446">
        <v>5</v>
      </c>
      <c r="C446" t="s">
        <v>16</v>
      </c>
      <c r="D446" s="2">
        <v>0.39583333333333331</v>
      </c>
      <c r="E446">
        <v>16858.669999999998</v>
      </c>
      <c r="F446" s="2">
        <v>0.3972222222222222</v>
      </c>
      <c r="G446">
        <v>16846.87</v>
      </c>
      <c r="H446">
        <v>16846.87</v>
      </c>
      <c r="I446">
        <v>16888.169999999998</v>
      </c>
      <c r="J446" t="s">
        <v>15</v>
      </c>
      <c r="K446">
        <v>-11.8</v>
      </c>
      <c r="L446" s="9">
        <v>-1</v>
      </c>
      <c r="M446">
        <v>0</v>
      </c>
      <c r="N446">
        <v>3</v>
      </c>
    </row>
    <row r="447" spans="1:14" x14ac:dyDescent="0.2">
      <c r="A447" s="1">
        <v>45303</v>
      </c>
      <c r="B447">
        <v>5</v>
      </c>
      <c r="C447" t="s">
        <v>13</v>
      </c>
      <c r="D447" s="2">
        <v>0.43125000000000002</v>
      </c>
      <c r="E447">
        <v>16814.29</v>
      </c>
      <c r="F447" s="2">
        <v>0.43333333333333335</v>
      </c>
      <c r="G447">
        <v>16826.060000000001</v>
      </c>
      <c r="H447">
        <v>16826.060000000001</v>
      </c>
      <c r="I447">
        <v>16784.87</v>
      </c>
      <c r="J447" t="s">
        <v>15</v>
      </c>
      <c r="K447">
        <v>-11.77</v>
      </c>
      <c r="L447" s="9">
        <v>-1</v>
      </c>
      <c r="M447">
        <v>0</v>
      </c>
      <c r="N447">
        <v>4</v>
      </c>
    </row>
    <row r="448" spans="1:14" x14ac:dyDescent="0.2">
      <c r="A448" s="1">
        <v>45303</v>
      </c>
      <c r="B448">
        <v>5</v>
      </c>
      <c r="C448" t="s">
        <v>13</v>
      </c>
      <c r="D448" s="2">
        <v>0.4548611111111111</v>
      </c>
      <c r="E448">
        <v>16787.990000000002</v>
      </c>
      <c r="F448" s="2">
        <v>0.45555555555555555</v>
      </c>
      <c r="G448">
        <v>16799.740000000002</v>
      </c>
      <c r="H448">
        <v>16799.740000000002</v>
      </c>
      <c r="I448">
        <v>16758.61</v>
      </c>
      <c r="J448" t="s">
        <v>15</v>
      </c>
      <c r="K448">
        <v>-11.75</v>
      </c>
      <c r="L448" s="9">
        <v>-1</v>
      </c>
      <c r="M448">
        <v>0</v>
      </c>
      <c r="N448">
        <v>5</v>
      </c>
    </row>
    <row r="449" spans="1:14" x14ac:dyDescent="0.2">
      <c r="A449" s="1">
        <v>45307</v>
      </c>
      <c r="B449">
        <v>2</v>
      </c>
      <c r="C449" t="s">
        <v>16</v>
      </c>
      <c r="D449" s="2">
        <v>0.42708333333333331</v>
      </c>
      <c r="E449">
        <v>16800.09</v>
      </c>
      <c r="F449" s="2">
        <v>0.42916666666666664</v>
      </c>
      <c r="G449">
        <v>16829.490000000002</v>
      </c>
      <c r="H449">
        <v>16788.330000000002</v>
      </c>
      <c r="I449">
        <v>16829.490000000002</v>
      </c>
      <c r="J449" t="s">
        <v>14</v>
      </c>
      <c r="K449">
        <v>29.4</v>
      </c>
      <c r="L449" s="9">
        <v>2.5</v>
      </c>
      <c r="M449">
        <v>1</v>
      </c>
      <c r="N449">
        <v>0</v>
      </c>
    </row>
    <row r="450" spans="1:14" x14ac:dyDescent="0.2">
      <c r="A450" s="1">
        <v>45308</v>
      </c>
      <c r="B450">
        <v>3</v>
      </c>
      <c r="C450" t="s">
        <v>13</v>
      </c>
      <c r="D450" s="2">
        <v>0.40138888888888891</v>
      </c>
      <c r="E450">
        <v>16632.97</v>
      </c>
      <c r="F450" s="2">
        <v>0.40555555555555556</v>
      </c>
      <c r="G450">
        <v>16603.86</v>
      </c>
      <c r="H450">
        <v>16644.61</v>
      </c>
      <c r="I450">
        <v>16603.86</v>
      </c>
      <c r="J450" t="s">
        <v>14</v>
      </c>
      <c r="K450">
        <v>29.11</v>
      </c>
      <c r="L450" s="9">
        <v>2.5</v>
      </c>
      <c r="M450">
        <v>1</v>
      </c>
      <c r="N450">
        <v>2</v>
      </c>
    </row>
    <row r="451" spans="1:14" x14ac:dyDescent="0.2">
      <c r="A451" s="1">
        <v>45308</v>
      </c>
      <c r="B451">
        <v>3</v>
      </c>
      <c r="C451" t="s">
        <v>16</v>
      </c>
      <c r="D451" s="2">
        <v>0.4465277777777778</v>
      </c>
      <c r="E451">
        <v>16641.53</v>
      </c>
      <c r="F451" s="2">
        <v>0.45347222222222222</v>
      </c>
      <c r="G451">
        <v>16629.88</v>
      </c>
      <c r="H451">
        <v>16629.88</v>
      </c>
      <c r="I451">
        <v>16670.650000000001</v>
      </c>
      <c r="J451" t="s">
        <v>15</v>
      </c>
      <c r="K451">
        <v>-11.65</v>
      </c>
      <c r="L451" s="9">
        <v>-1</v>
      </c>
      <c r="M451">
        <v>0</v>
      </c>
      <c r="N451">
        <v>0</v>
      </c>
    </row>
    <row r="452" spans="1:14" x14ac:dyDescent="0.2">
      <c r="A452" s="1">
        <v>45309</v>
      </c>
      <c r="B452">
        <v>4</v>
      </c>
      <c r="C452" t="s">
        <v>16</v>
      </c>
      <c r="D452" s="2">
        <v>0.40069444444444446</v>
      </c>
      <c r="E452">
        <v>16903.490000000002</v>
      </c>
      <c r="F452" s="2">
        <v>0.40138888888888891</v>
      </c>
      <c r="G452">
        <v>16891.66</v>
      </c>
      <c r="H452">
        <v>16891.66</v>
      </c>
      <c r="I452">
        <v>16933.07</v>
      </c>
      <c r="J452" t="s">
        <v>15</v>
      </c>
      <c r="K452">
        <v>-11.83</v>
      </c>
      <c r="L452" s="9">
        <v>-1</v>
      </c>
      <c r="M452">
        <v>0</v>
      </c>
      <c r="N452">
        <v>2</v>
      </c>
    </row>
    <row r="453" spans="1:14" x14ac:dyDescent="0.2">
      <c r="A453" s="1">
        <v>45309</v>
      </c>
      <c r="B453">
        <v>4</v>
      </c>
      <c r="C453" t="s">
        <v>16</v>
      </c>
      <c r="D453" s="2">
        <v>0.43611111111111112</v>
      </c>
      <c r="E453">
        <v>16899.810000000001</v>
      </c>
      <c r="F453" s="2">
        <v>0.43888888888888888</v>
      </c>
      <c r="G453">
        <v>16887.98</v>
      </c>
      <c r="H453">
        <v>16887.98</v>
      </c>
      <c r="I453">
        <v>16929.39</v>
      </c>
      <c r="J453" t="s">
        <v>15</v>
      </c>
      <c r="K453">
        <v>-11.83</v>
      </c>
      <c r="L453" s="9">
        <v>-1</v>
      </c>
      <c r="M453">
        <v>0</v>
      </c>
      <c r="N453">
        <v>3</v>
      </c>
    </row>
    <row r="454" spans="1:14" x14ac:dyDescent="0.2">
      <c r="A454" s="1">
        <v>45310</v>
      </c>
      <c r="B454">
        <v>5</v>
      </c>
      <c r="C454" t="s">
        <v>13</v>
      </c>
      <c r="D454" s="2">
        <v>0.39791666666666664</v>
      </c>
      <c r="E454">
        <v>17058.93</v>
      </c>
      <c r="F454" s="2">
        <v>0.40416666666666667</v>
      </c>
      <c r="G454">
        <v>17070.87</v>
      </c>
      <c r="H454">
        <v>17070.87</v>
      </c>
      <c r="I454">
        <v>17029.080000000002</v>
      </c>
      <c r="J454" t="s">
        <v>15</v>
      </c>
      <c r="K454">
        <v>-11.94</v>
      </c>
      <c r="L454" s="9">
        <v>-1</v>
      </c>
      <c r="M454">
        <v>0</v>
      </c>
      <c r="N454">
        <v>4</v>
      </c>
    </row>
    <row r="455" spans="1:14" x14ac:dyDescent="0.2">
      <c r="A455" s="1">
        <v>45310</v>
      </c>
      <c r="B455">
        <v>5</v>
      </c>
      <c r="C455" t="s">
        <v>16</v>
      </c>
      <c r="D455" s="2">
        <v>0.4375</v>
      </c>
      <c r="E455">
        <v>17081.5</v>
      </c>
      <c r="F455" s="2">
        <v>0.43888888888888888</v>
      </c>
      <c r="G455">
        <v>17069.54</v>
      </c>
      <c r="H455">
        <v>17069.54</v>
      </c>
      <c r="I455">
        <v>17111.39</v>
      </c>
      <c r="J455" t="s">
        <v>15</v>
      </c>
      <c r="K455">
        <v>-11.96</v>
      </c>
      <c r="L455" s="9">
        <v>-1</v>
      </c>
      <c r="M455">
        <v>0</v>
      </c>
      <c r="N455">
        <v>5</v>
      </c>
    </row>
    <row r="456" spans="1:14" x14ac:dyDescent="0.2">
      <c r="A456" s="1">
        <v>45314</v>
      </c>
      <c r="B456">
        <v>2</v>
      </c>
      <c r="C456" t="s">
        <v>13</v>
      </c>
      <c r="D456" s="2">
        <v>0.4</v>
      </c>
      <c r="E456">
        <v>17313.2</v>
      </c>
      <c r="F456" s="2">
        <v>0.40069444444444446</v>
      </c>
      <c r="G456">
        <v>17325.32</v>
      </c>
      <c r="H456">
        <v>17325.32</v>
      </c>
      <c r="I456">
        <v>17282.900000000001</v>
      </c>
      <c r="J456" t="s">
        <v>15</v>
      </c>
      <c r="K456">
        <v>-12.12</v>
      </c>
      <c r="L456" s="9">
        <v>-1</v>
      </c>
      <c r="M456">
        <v>0</v>
      </c>
      <c r="N456">
        <v>6</v>
      </c>
    </row>
    <row r="457" spans="1:14" x14ac:dyDescent="0.2">
      <c r="A457" s="1">
        <v>45314</v>
      </c>
      <c r="B457">
        <v>2</v>
      </c>
      <c r="C457" t="s">
        <v>13</v>
      </c>
      <c r="D457" s="2">
        <v>0.43402777777777779</v>
      </c>
      <c r="E457">
        <v>17319.23</v>
      </c>
      <c r="F457" s="2">
        <v>0.43541666666666667</v>
      </c>
      <c r="G457">
        <v>17331.349999999999</v>
      </c>
      <c r="H457">
        <v>17331.349999999999</v>
      </c>
      <c r="I457">
        <v>17288.919999999998</v>
      </c>
      <c r="J457" t="s">
        <v>15</v>
      </c>
      <c r="K457">
        <v>-12.12</v>
      </c>
      <c r="L457" s="9">
        <v>-1</v>
      </c>
      <c r="M457">
        <v>0</v>
      </c>
      <c r="N457">
        <v>7</v>
      </c>
    </row>
    <row r="458" spans="1:14" x14ac:dyDescent="0.2">
      <c r="A458" s="1">
        <v>45315</v>
      </c>
      <c r="B458">
        <v>3</v>
      </c>
      <c r="C458" t="s">
        <v>16</v>
      </c>
      <c r="D458" s="2">
        <v>0.42986111111111114</v>
      </c>
      <c r="E458">
        <v>17577.47</v>
      </c>
      <c r="F458" s="2">
        <v>0.44236111111111109</v>
      </c>
      <c r="G458">
        <v>17608.23</v>
      </c>
      <c r="H458">
        <v>17565.169999999998</v>
      </c>
      <c r="I458">
        <v>17608.23</v>
      </c>
      <c r="J458" t="s">
        <v>14</v>
      </c>
      <c r="K458">
        <v>30.76</v>
      </c>
      <c r="L458" s="9">
        <v>2.5</v>
      </c>
      <c r="M458">
        <v>1</v>
      </c>
      <c r="N458">
        <v>0</v>
      </c>
    </row>
    <row r="459" spans="1:14" x14ac:dyDescent="0.2">
      <c r="A459" s="1">
        <v>45316</v>
      </c>
      <c r="B459">
        <v>4</v>
      </c>
      <c r="C459" t="s">
        <v>13</v>
      </c>
      <c r="D459" s="2">
        <v>0.40486111111111112</v>
      </c>
      <c r="E459">
        <v>17573.669999999998</v>
      </c>
      <c r="F459" s="2">
        <v>0.41458333333333336</v>
      </c>
      <c r="G459">
        <v>17542.91</v>
      </c>
      <c r="H459">
        <v>17585.97</v>
      </c>
      <c r="I459">
        <v>17542.91</v>
      </c>
      <c r="J459" t="s">
        <v>14</v>
      </c>
      <c r="K459">
        <v>30.75</v>
      </c>
      <c r="L459" s="9">
        <v>2.5</v>
      </c>
      <c r="M459">
        <v>1</v>
      </c>
      <c r="N459">
        <v>2</v>
      </c>
    </row>
    <row r="460" spans="1:14" x14ac:dyDescent="0.2">
      <c r="A460" s="1">
        <v>45316</v>
      </c>
      <c r="B460">
        <v>4</v>
      </c>
      <c r="C460" t="s">
        <v>16</v>
      </c>
      <c r="D460" s="2">
        <v>0.42986111111111114</v>
      </c>
      <c r="E460">
        <v>17583.900000000001</v>
      </c>
      <c r="F460" s="2">
        <v>0.43194444444444446</v>
      </c>
      <c r="G460">
        <v>17614.669999999998</v>
      </c>
      <c r="H460">
        <v>17571.59</v>
      </c>
      <c r="I460">
        <v>17614.669999999998</v>
      </c>
      <c r="J460" t="s">
        <v>14</v>
      </c>
      <c r="K460">
        <v>30.77</v>
      </c>
      <c r="L460" s="9">
        <v>2.5</v>
      </c>
      <c r="M460">
        <v>1</v>
      </c>
      <c r="N460">
        <v>3</v>
      </c>
    </row>
    <row r="461" spans="1:14" x14ac:dyDescent="0.2">
      <c r="A461" s="1">
        <v>45317</v>
      </c>
      <c r="B461">
        <v>5</v>
      </c>
      <c r="C461" t="s">
        <v>13</v>
      </c>
      <c r="D461" s="2">
        <v>0.41388888888888886</v>
      </c>
      <c r="E461">
        <v>17413.099999999999</v>
      </c>
      <c r="F461" s="2">
        <v>0.4152777777777778</v>
      </c>
      <c r="G461">
        <v>17425.29</v>
      </c>
      <c r="H461">
        <v>17425.29</v>
      </c>
      <c r="I461">
        <v>17382.63</v>
      </c>
      <c r="J461" t="s">
        <v>15</v>
      </c>
      <c r="K461">
        <v>-12.19</v>
      </c>
      <c r="L461" s="9">
        <v>-1</v>
      </c>
      <c r="M461">
        <v>0</v>
      </c>
      <c r="N461">
        <v>0</v>
      </c>
    </row>
    <row r="462" spans="1:14" x14ac:dyDescent="0.2">
      <c r="A462" s="1">
        <v>45317</v>
      </c>
      <c r="B462">
        <v>5</v>
      </c>
      <c r="C462" t="s">
        <v>16</v>
      </c>
      <c r="D462" s="2">
        <v>0.44097222222222221</v>
      </c>
      <c r="E462">
        <v>17479.03</v>
      </c>
      <c r="F462" s="2">
        <v>0.4548611111111111</v>
      </c>
      <c r="G462">
        <v>17509.62</v>
      </c>
      <c r="H462">
        <v>17466.79</v>
      </c>
      <c r="I462">
        <v>17509.62</v>
      </c>
      <c r="J462" t="s">
        <v>14</v>
      </c>
      <c r="K462">
        <v>30.59</v>
      </c>
      <c r="L462" s="9">
        <v>2.5</v>
      </c>
      <c r="M462">
        <v>1</v>
      </c>
      <c r="N462">
        <v>0</v>
      </c>
    </row>
    <row r="463" spans="1:14" x14ac:dyDescent="0.2">
      <c r="A463" s="1">
        <v>45320</v>
      </c>
      <c r="B463">
        <v>1</v>
      </c>
      <c r="C463" t="s">
        <v>16</v>
      </c>
      <c r="D463" s="2">
        <v>0.40416666666666667</v>
      </c>
      <c r="E463">
        <v>17462.55</v>
      </c>
      <c r="F463" s="2">
        <v>0.40763888888888888</v>
      </c>
      <c r="G463">
        <v>17450.330000000002</v>
      </c>
      <c r="H463">
        <v>17450.330000000002</v>
      </c>
      <c r="I463">
        <v>17493.11</v>
      </c>
      <c r="J463" t="s">
        <v>15</v>
      </c>
      <c r="K463">
        <v>-12.22</v>
      </c>
      <c r="L463" s="9">
        <v>-1</v>
      </c>
      <c r="M463">
        <v>0</v>
      </c>
      <c r="N463">
        <v>0</v>
      </c>
    </row>
    <row r="464" spans="1:14" x14ac:dyDescent="0.2">
      <c r="A464" s="1">
        <v>45320</v>
      </c>
      <c r="B464">
        <v>1</v>
      </c>
      <c r="C464" t="s">
        <v>13</v>
      </c>
      <c r="D464" s="2">
        <v>0.42083333333333334</v>
      </c>
      <c r="E464">
        <v>17429.04</v>
      </c>
      <c r="F464" s="2">
        <v>0.42291666666666666</v>
      </c>
      <c r="G464">
        <v>17441.240000000002</v>
      </c>
      <c r="H464">
        <v>17441.240000000002</v>
      </c>
      <c r="I464">
        <v>17398.54</v>
      </c>
      <c r="J464" t="s">
        <v>15</v>
      </c>
      <c r="K464">
        <v>-12.2</v>
      </c>
      <c r="L464" s="9">
        <v>-1</v>
      </c>
      <c r="M464">
        <v>0</v>
      </c>
      <c r="N464">
        <v>2</v>
      </c>
    </row>
    <row r="465" spans="1:14" x14ac:dyDescent="0.2">
      <c r="A465" s="1">
        <v>45320</v>
      </c>
      <c r="B465">
        <v>1</v>
      </c>
      <c r="C465" t="s">
        <v>13</v>
      </c>
      <c r="D465" s="2">
        <v>0.44305555555555554</v>
      </c>
      <c r="E465">
        <v>17426.8</v>
      </c>
      <c r="F465" s="2">
        <v>0.44374999999999998</v>
      </c>
      <c r="G465">
        <v>17439</v>
      </c>
      <c r="H465">
        <v>17439</v>
      </c>
      <c r="I465">
        <v>17396.310000000001</v>
      </c>
      <c r="J465" t="s">
        <v>15</v>
      </c>
      <c r="K465">
        <v>-12.2</v>
      </c>
      <c r="L465" s="9">
        <v>-1</v>
      </c>
      <c r="M465">
        <v>0</v>
      </c>
      <c r="N465">
        <v>3</v>
      </c>
    </row>
    <row r="466" spans="1:14" x14ac:dyDescent="0.2">
      <c r="A466" s="1">
        <v>45321</v>
      </c>
      <c r="B466">
        <v>2</v>
      </c>
      <c r="C466" t="s">
        <v>16</v>
      </c>
      <c r="D466" s="2">
        <v>0.40277777777777779</v>
      </c>
      <c r="E466">
        <v>17567.22</v>
      </c>
      <c r="F466" s="2">
        <v>0.41388888888888886</v>
      </c>
      <c r="G466">
        <v>17554.919999999998</v>
      </c>
      <c r="H466">
        <v>17554.919999999998</v>
      </c>
      <c r="I466">
        <v>17597.96</v>
      </c>
      <c r="J466" t="s">
        <v>15</v>
      </c>
      <c r="K466">
        <v>-12.3</v>
      </c>
      <c r="L466" s="9">
        <v>-1</v>
      </c>
      <c r="M466">
        <v>0</v>
      </c>
      <c r="N466">
        <v>4</v>
      </c>
    </row>
    <row r="467" spans="1:14" x14ac:dyDescent="0.2">
      <c r="A467" s="1">
        <v>45322</v>
      </c>
      <c r="B467">
        <v>3</v>
      </c>
      <c r="C467" t="s">
        <v>13</v>
      </c>
      <c r="D467" s="2">
        <v>0.40833333333333333</v>
      </c>
      <c r="E467">
        <v>17257.150000000001</v>
      </c>
      <c r="F467" s="2">
        <v>0.40902777777777777</v>
      </c>
      <c r="G467">
        <v>17269.23</v>
      </c>
      <c r="H467">
        <v>17269.23</v>
      </c>
      <c r="I467">
        <v>17226.95</v>
      </c>
      <c r="J467" t="s">
        <v>15</v>
      </c>
      <c r="K467">
        <v>-12.08</v>
      </c>
      <c r="L467" s="9">
        <v>-1</v>
      </c>
      <c r="M467">
        <v>0</v>
      </c>
      <c r="N467">
        <v>5</v>
      </c>
    </row>
    <row r="468" spans="1:14" x14ac:dyDescent="0.2">
      <c r="A468" s="1">
        <v>45322</v>
      </c>
      <c r="B468">
        <v>3</v>
      </c>
      <c r="C468" t="s">
        <v>13</v>
      </c>
      <c r="D468" s="2">
        <v>0.42777777777777776</v>
      </c>
      <c r="E468">
        <v>17244.419999999998</v>
      </c>
      <c r="F468" s="2">
        <v>0.43680555555555556</v>
      </c>
      <c r="G468">
        <v>17214.240000000002</v>
      </c>
      <c r="H468">
        <v>17256.490000000002</v>
      </c>
      <c r="I468">
        <v>17214.240000000002</v>
      </c>
      <c r="J468" t="s">
        <v>14</v>
      </c>
      <c r="K468">
        <v>30.18</v>
      </c>
      <c r="L468" s="9">
        <v>2.5</v>
      </c>
      <c r="M468">
        <v>1</v>
      </c>
      <c r="N468">
        <v>0</v>
      </c>
    </row>
    <row r="469" spans="1:14" x14ac:dyDescent="0.2">
      <c r="A469" s="1">
        <v>45327</v>
      </c>
      <c r="B469">
        <v>1</v>
      </c>
      <c r="C469" t="s">
        <v>13</v>
      </c>
      <c r="D469" s="2">
        <v>0.4201388888888889</v>
      </c>
      <c r="E469">
        <v>17579.66</v>
      </c>
      <c r="F469" s="2">
        <v>0.42708333333333331</v>
      </c>
      <c r="G469">
        <v>17548.89</v>
      </c>
      <c r="H469">
        <v>17591.96</v>
      </c>
      <c r="I469">
        <v>17548.89</v>
      </c>
      <c r="J469" t="s">
        <v>14</v>
      </c>
      <c r="K469">
        <v>30.76</v>
      </c>
      <c r="L469" s="9">
        <v>2.5</v>
      </c>
      <c r="M469">
        <v>1</v>
      </c>
      <c r="N469">
        <v>2</v>
      </c>
    </row>
    <row r="470" spans="1:14" x14ac:dyDescent="0.2">
      <c r="A470" s="1">
        <v>45328</v>
      </c>
      <c r="B470">
        <v>2</v>
      </c>
      <c r="C470" t="s">
        <v>13</v>
      </c>
      <c r="D470" s="2">
        <v>0.41180555555555554</v>
      </c>
      <c r="E470">
        <v>17598.71</v>
      </c>
      <c r="F470" s="2">
        <v>0.41597222222222224</v>
      </c>
      <c r="G470">
        <v>17567.91</v>
      </c>
      <c r="H470">
        <v>17611.03</v>
      </c>
      <c r="I470">
        <v>17567.91</v>
      </c>
      <c r="J470" t="s">
        <v>14</v>
      </c>
      <c r="K470">
        <v>30.8</v>
      </c>
      <c r="L470" s="9">
        <v>2.5</v>
      </c>
      <c r="M470">
        <v>1</v>
      </c>
      <c r="N470">
        <v>3</v>
      </c>
    </row>
    <row r="471" spans="1:14" x14ac:dyDescent="0.2">
      <c r="A471" s="1">
        <v>45329</v>
      </c>
      <c r="B471">
        <v>3</v>
      </c>
      <c r="C471" t="s">
        <v>16</v>
      </c>
      <c r="D471" s="2">
        <v>0.39583333333333331</v>
      </c>
      <c r="E471">
        <v>17684.75</v>
      </c>
      <c r="F471" s="2">
        <v>0.39652777777777776</v>
      </c>
      <c r="G471">
        <v>17672.37</v>
      </c>
      <c r="H471">
        <v>17672.37</v>
      </c>
      <c r="I471">
        <v>17715.7</v>
      </c>
      <c r="J471" t="s">
        <v>15</v>
      </c>
      <c r="K471">
        <v>-12.38</v>
      </c>
      <c r="L471" s="9">
        <v>-1</v>
      </c>
      <c r="M471">
        <v>0</v>
      </c>
      <c r="N471">
        <v>0</v>
      </c>
    </row>
    <row r="472" spans="1:14" x14ac:dyDescent="0.2">
      <c r="A472" s="1">
        <v>45329</v>
      </c>
      <c r="B472">
        <v>3</v>
      </c>
      <c r="C472" t="s">
        <v>13</v>
      </c>
      <c r="D472" s="2">
        <v>0.40555555555555556</v>
      </c>
      <c r="E472">
        <v>17650.11</v>
      </c>
      <c r="F472" s="2">
        <v>0.40833333333333333</v>
      </c>
      <c r="G472">
        <v>17662.47</v>
      </c>
      <c r="H472">
        <v>17662.47</v>
      </c>
      <c r="I472">
        <v>17619.23</v>
      </c>
      <c r="J472" t="s">
        <v>15</v>
      </c>
      <c r="K472">
        <v>-12.36</v>
      </c>
      <c r="L472" s="9">
        <v>-1</v>
      </c>
      <c r="M472">
        <v>0</v>
      </c>
      <c r="N472">
        <v>2</v>
      </c>
    </row>
    <row r="473" spans="1:14" x14ac:dyDescent="0.2">
      <c r="A473" s="1">
        <v>45329</v>
      </c>
      <c r="B473">
        <v>3</v>
      </c>
      <c r="C473" t="s">
        <v>16</v>
      </c>
      <c r="D473" s="2">
        <v>0.42986111111111114</v>
      </c>
      <c r="E473">
        <v>17722.09</v>
      </c>
      <c r="F473" s="2">
        <v>0.43541666666666667</v>
      </c>
      <c r="G473">
        <v>17753.099999999999</v>
      </c>
      <c r="H473">
        <v>17709.68</v>
      </c>
      <c r="I473">
        <v>17753.099999999999</v>
      </c>
      <c r="J473" t="s">
        <v>14</v>
      </c>
      <c r="K473">
        <v>31.01</v>
      </c>
      <c r="L473" s="9">
        <v>2.5</v>
      </c>
      <c r="M473">
        <v>1</v>
      </c>
      <c r="N473">
        <v>0</v>
      </c>
    </row>
    <row r="474" spans="1:14" x14ac:dyDescent="0.2">
      <c r="A474" s="1">
        <v>45330</v>
      </c>
      <c r="B474">
        <v>4</v>
      </c>
      <c r="C474" t="s">
        <v>16</v>
      </c>
      <c r="D474" s="2">
        <v>0.39583333333333331</v>
      </c>
      <c r="E474">
        <v>17746.25</v>
      </c>
      <c r="F474" s="2">
        <v>0.40347222222222223</v>
      </c>
      <c r="G474">
        <v>17733.830000000002</v>
      </c>
      <c r="H474">
        <v>17733.830000000002</v>
      </c>
      <c r="I474">
        <v>17777.310000000001</v>
      </c>
      <c r="J474" t="s">
        <v>15</v>
      </c>
      <c r="K474">
        <v>-12.42</v>
      </c>
      <c r="L474" s="9">
        <v>-1</v>
      </c>
      <c r="M474">
        <v>0</v>
      </c>
      <c r="N474">
        <v>0</v>
      </c>
    </row>
    <row r="475" spans="1:14" x14ac:dyDescent="0.2">
      <c r="A475" s="1">
        <v>45330</v>
      </c>
      <c r="B475">
        <v>4</v>
      </c>
      <c r="C475" t="s">
        <v>16</v>
      </c>
      <c r="D475" s="2">
        <v>0.41875000000000001</v>
      </c>
      <c r="E475">
        <v>17766.61</v>
      </c>
      <c r="F475" s="2">
        <v>0.42499999999999999</v>
      </c>
      <c r="G475">
        <v>17754.18</v>
      </c>
      <c r="H475">
        <v>17754.18</v>
      </c>
      <c r="I475">
        <v>17797.71</v>
      </c>
      <c r="J475" t="s">
        <v>15</v>
      </c>
      <c r="K475">
        <v>-12.44</v>
      </c>
      <c r="L475" s="9">
        <v>-1</v>
      </c>
      <c r="M475">
        <v>0</v>
      </c>
      <c r="N475">
        <v>2</v>
      </c>
    </row>
    <row r="476" spans="1:14" x14ac:dyDescent="0.2">
      <c r="A476" s="1">
        <v>45330</v>
      </c>
      <c r="B476">
        <v>4</v>
      </c>
      <c r="C476" t="s">
        <v>16</v>
      </c>
      <c r="D476" s="2">
        <v>0.45</v>
      </c>
      <c r="E476">
        <v>17777.03</v>
      </c>
      <c r="F476" s="2">
        <v>0.45416666666666666</v>
      </c>
      <c r="G476">
        <v>17808.14</v>
      </c>
      <c r="H476">
        <v>17764.59</v>
      </c>
      <c r="I476">
        <v>17808.14</v>
      </c>
      <c r="J476" t="s">
        <v>14</v>
      </c>
      <c r="K476">
        <v>31.11</v>
      </c>
      <c r="L476" s="9">
        <v>2.5</v>
      </c>
      <c r="M476">
        <v>1</v>
      </c>
      <c r="N476">
        <v>0</v>
      </c>
    </row>
    <row r="477" spans="1:14" x14ac:dyDescent="0.2">
      <c r="A477" s="1">
        <v>45331</v>
      </c>
      <c r="B477">
        <v>5</v>
      </c>
      <c r="C477" t="s">
        <v>13</v>
      </c>
      <c r="D477" s="2">
        <v>0.39583333333333331</v>
      </c>
      <c r="E477">
        <v>17827.740000000002</v>
      </c>
      <c r="F477" s="2">
        <v>0.4</v>
      </c>
      <c r="G477">
        <v>17796.54</v>
      </c>
      <c r="H477">
        <v>17840.22</v>
      </c>
      <c r="I477">
        <v>17796.54</v>
      </c>
      <c r="J477" t="s">
        <v>14</v>
      </c>
      <c r="K477">
        <v>31.2</v>
      </c>
      <c r="L477" s="9">
        <v>2.5</v>
      </c>
      <c r="M477">
        <v>1</v>
      </c>
      <c r="N477">
        <v>2</v>
      </c>
    </row>
    <row r="478" spans="1:14" x14ac:dyDescent="0.2">
      <c r="A478" s="1">
        <v>45331</v>
      </c>
      <c r="B478">
        <v>5</v>
      </c>
      <c r="C478" t="s">
        <v>16</v>
      </c>
      <c r="D478" s="2">
        <v>0.41736111111111113</v>
      </c>
      <c r="E478">
        <v>17852.59</v>
      </c>
      <c r="F478" s="2">
        <v>0.42916666666666664</v>
      </c>
      <c r="G478">
        <v>17883.830000000002</v>
      </c>
      <c r="H478">
        <v>17840.099999999999</v>
      </c>
      <c r="I478">
        <v>17883.830000000002</v>
      </c>
      <c r="J478" t="s">
        <v>14</v>
      </c>
      <c r="K478">
        <v>31.24</v>
      </c>
      <c r="L478" s="9">
        <v>2.5</v>
      </c>
      <c r="M478">
        <v>1</v>
      </c>
      <c r="N478">
        <v>3</v>
      </c>
    </row>
    <row r="479" spans="1:14" x14ac:dyDescent="0.2">
      <c r="A479" s="1">
        <v>45334</v>
      </c>
      <c r="B479">
        <v>1</v>
      </c>
      <c r="C479" t="s">
        <v>13</v>
      </c>
      <c r="D479" s="2">
        <v>0.42916666666666664</v>
      </c>
      <c r="E479">
        <v>17941.849999999999</v>
      </c>
      <c r="F479" s="2">
        <v>0.43402777777777779</v>
      </c>
      <c r="G479">
        <v>17954.41</v>
      </c>
      <c r="H479">
        <v>17954.41</v>
      </c>
      <c r="I479">
        <v>17910.45</v>
      </c>
      <c r="J479" t="s">
        <v>15</v>
      </c>
      <c r="K479">
        <v>-12.56</v>
      </c>
      <c r="L479" s="9">
        <v>-1</v>
      </c>
      <c r="M479">
        <v>0</v>
      </c>
      <c r="N479">
        <v>0</v>
      </c>
    </row>
    <row r="480" spans="1:14" x14ac:dyDescent="0.2">
      <c r="A480" s="1">
        <v>45334</v>
      </c>
      <c r="B480">
        <v>1</v>
      </c>
      <c r="C480" t="s">
        <v>16</v>
      </c>
      <c r="D480" s="2">
        <v>0.44097222222222221</v>
      </c>
      <c r="E480">
        <v>17961.47</v>
      </c>
      <c r="F480" s="2">
        <v>0.45277777777777778</v>
      </c>
      <c r="G480">
        <v>17992.900000000001</v>
      </c>
      <c r="H480">
        <v>17948.89</v>
      </c>
      <c r="I480">
        <v>17992.900000000001</v>
      </c>
      <c r="J480" t="s">
        <v>14</v>
      </c>
      <c r="K480">
        <v>31.43</v>
      </c>
      <c r="L480" s="9">
        <v>2.5</v>
      </c>
      <c r="M480">
        <v>1</v>
      </c>
      <c r="N480">
        <v>0</v>
      </c>
    </row>
    <row r="481" spans="1:14" x14ac:dyDescent="0.2">
      <c r="A481" s="1">
        <v>45335</v>
      </c>
      <c r="B481">
        <v>2</v>
      </c>
      <c r="C481" t="s">
        <v>16</v>
      </c>
      <c r="D481" s="2">
        <v>0.41597222222222224</v>
      </c>
      <c r="E481">
        <v>17596.21</v>
      </c>
      <c r="F481" s="2">
        <v>0.41875000000000001</v>
      </c>
      <c r="G481">
        <v>17583.89</v>
      </c>
      <c r="H481">
        <v>17583.89</v>
      </c>
      <c r="I481">
        <v>17627</v>
      </c>
      <c r="J481" t="s">
        <v>15</v>
      </c>
      <c r="K481">
        <v>-12.32</v>
      </c>
      <c r="L481" s="9">
        <v>-1</v>
      </c>
      <c r="M481">
        <v>0</v>
      </c>
      <c r="N481">
        <v>0</v>
      </c>
    </row>
    <row r="482" spans="1:14" x14ac:dyDescent="0.2">
      <c r="A482" s="1">
        <v>45335</v>
      </c>
      <c r="B482">
        <v>2</v>
      </c>
      <c r="C482" t="s">
        <v>16</v>
      </c>
      <c r="D482" s="2">
        <v>0.43888888888888888</v>
      </c>
      <c r="E482">
        <v>17667.16</v>
      </c>
      <c r="F482" s="2">
        <v>0.44374999999999998</v>
      </c>
      <c r="G482">
        <v>17698.080000000002</v>
      </c>
      <c r="H482">
        <v>17654.79</v>
      </c>
      <c r="I482">
        <v>17698.080000000002</v>
      </c>
      <c r="J482" t="s">
        <v>14</v>
      </c>
      <c r="K482">
        <v>30.92</v>
      </c>
      <c r="L482" s="9">
        <v>2.5</v>
      </c>
      <c r="M482">
        <v>1</v>
      </c>
      <c r="N482">
        <v>0</v>
      </c>
    </row>
    <row r="483" spans="1:14" x14ac:dyDescent="0.2">
      <c r="A483" s="1">
        <v>45336</v>
      </c>
      <c r="B483">
        <v>3</v>
      </c>
      <c r="C483" t="s">
        <v>16</v>
      </c>
      <c r="D483" s="2">
        <v>0.42291666666666666</v>
      </c>
      <c r="E483">
        <v>17726.09</v>
      </c>
      <c r="F483" s="2">
        <v>0.42499999999999999</v>
      </c>
      <c r="G483">
        <v>17713.68</v>
      </c>
      <c r="H483">
        <v>17713.68</v>
      </c>
      <c r="I483">
        <v>17757.11</v>
      </c>
      <c r="J483" t="s">
        <v>15</v>
      </c>
      <c r="K483">
        <v>-12.41</v>
      </c>
      <c r="L483" s="9">
        <v>-1</v>
      </c>
      <c r="M483">
        <v>0</v>
      </c>
      <c r="N483">
        <v>0</v>
      </c>
    </row>
    <row r="484" spans="1:14" x14ac:dyDescent="0.2">
      <c r="A484" s="1">
        <v>45337</v>
      </c>
      <c r="B484">
        <v>4</v>
      </c>
      <c r="C484" t="s">
        <v>13</v>
      </c>
      <c r="D484" s="2">
        <v>0.40208333333333335</v>
      </c>
      <c r="E484">
        <v>17799.34</v>
      </c>
      <c r="F484" s="2">
        <v>0.41249999999999998</v>
      </c>
      <c r="G484">
        <v>17768.189999999999</v>
      </c>
      <c r="H484">
        <v>17811.8</v>
      </c>
      <c r="I484">
        <v>17768.189999999999</v>
      </c>
      <c r="J484" t="s">
        <v>14</v>
      </c>
      <c r="K484">
        <v>31.15</v>
      </c>
      <c r="L484" s="9">
        <v>2.5</v>
      </c>
      <c r="M484">
        <v>1</v>
      </c>
      <c r="N484">
        <v>0</v>
      </c>
    </row>
    <row r="485" spans="1:14" x14ac:dyDescent="0.2">
      <c r="A485" s="1">
        <v>45338</v>
      </c>
      <c r="B485">
        <v>5</v>
      </c>
      <c r="C485" t="s">
        <v>13</v>
      </c>
      <c r="D485" s="2">
        <v>0.39861111111111114</v>
      </c>
      <c r="E485">
        <v>17842.439999999999</v>
      </c>
      <c r="F485" s="2">
        <v>0.4</v>
      </c>
      <c r="G485">
        <v>17854.93</v>
      </c>
      <c r="H485">
        <v>17854.93</v>
      </c>
      <c r="I485">
        <v>17811.22</v>
      </c>
      <c r="J485" t="s">
        <v>15</v>
      </c>
      <c r="K485">
        <v>-12.49</v>
      </c>
      <c r="L485" s="9">
        <v>-1</v>
      </c>
      <c r="M485">
        <v>0</v>
      </c>
      <c r="N485">
        <v>0</v>
      </c>
    </row>
    <row r="486" spans="1:14" x14ac:dyDescent="0.2">
      <c r="A486" s="1">
        <v>45341</v>
      </c>
      <c r="B486">
        <v>1</v>
      </c>
      <c r="C486" t="s">
        <v>16</v>
      </c>
      <c r="D486" s="2">
        <v>0.3972222222222222</v>
      </c>
      <c r="E486">
        <v>17728.330000000002</v>
      </c>
      <c r="F486" s="2">
        <v>0.43055555555555558</v>
      </c>
      <c r="G486">
        <v>17715.919999999998</v>
      </c>
      <c r="H486">
        <v>17715.919999999998</v>
      </c>
      <c r="I486">
        <v>17759.349999999999</v>
      </c>
      <c r="J486" t="s">
        <v>15</v>
      </c>
      <c r="K486">
        <v>-12.41</v>
      </c>
      <c r="L486" s="9">
        <v>-1</v>
      </c>
      <c r="M486">
        <v>0</v>
      </c>
      <c r="N486">
        <v>2</v>
      </c>
    </row>
    <row r="487" spans="1:14" x14ac:dyDescent="0.2">
      <c r="A487" s="1">
        <v>45341</v>
      </c>
      <c r="B487">
        <v>1</v>
      </c>
      <c r="C487" t="s">
        <v>13</v>
      </c>
      <c r="D487" s="2">
        <v>0.43194444444444446</v>
      </c>
      <c r="E487">
        <v>17719.98</v>
      </c>
      <c r="F487" s="2">
        <v>0.53125</v>
      </c>
      <c r="G487">
        <v>17732.38</v>
      </c>
      <c r="H487">
        <v>17732.38</v>
      </c>
      <c r="I487">
        <v>17688.97</v>
      </c>
      <c r="J487" t="s">
        <v>15</v>
      </c>
      <c r="K487">
        <v>-12.4</v>
      </c>
      <c r="L487" s="9">
        <v>-1</v>
      </c>
      <c r="M487">
        <v>0</v>
      </c>
      <c r="N487">
        <v>3</v>
      </c>
    </row>
    <row r="488" spans="1:14" x14ac:dyDescent="0.2">
      <c r="A488" s="1">
        <v>45342</v>
      </c>
      <c r="B488">
        <v>2</v>
      </c>
      <c r="C488" t="s">
        <v>13</v>
      </c>
      <c r="D488" s="2">
        <v>0.40625</v>
      </c>
      <c r="E488">
        <v>17528.240000000002</v>
      </c>
      <c r="F488" s="2">
        <v>0.40763888888888888</v>
      </c>
      <c r="G488">
        <v>17540.509999999998</v>
      </c>
      <c r="H488">
        <v>17540.509999999998</v>
      </c>
      <c r="I488">
        <v>17497.560000000001</v>
      </c>
      <c r="J488" t="s">
        <v>15</v>
      </c>
      <c r="K488">
        <v>-12.27</v>
      </c>
      <c r="L488" s="9">
        <v>-1</v>
      </c>
      <c r="M488">
        <v>0</v>
      </c>
      <c r="N488">
        <v>4</v>
      </c>
    </row>
    <row r="489" spans="1:14" x14ac:dyDescent="0.2">
      <c r="A489" s="1">
        <v>45342</v>
      </c>
      <c r="B489">
        <v>2</v>
      </c>
      <c r="C489" t="s">
        <v>16</v>
      </c>
      <c r="D489" s="2">
        <v>0.45347222222222222</v>
      </c>
      <c r="E489">
        <v>17491.54</v>
      </c>
      <c r="F489" s="2">
        <v>0.45833333333333331</v>
      </c>
      <c r="G489">
        <v>17522.150000000001</v>
      </c>
      <c r="H489">
        <v>17479.29</v>
      </c>
      <c r="I489">
        <v>17522.150000000001</v>
      </c>
      <c r="J489" t="s">
        <v>14</v>
      </c>
      <c r="K489">
        <v>30.61</v>
      </c>
      <c r="L489" s="9">
        <v>2.5</v>
      </c>
      <c r="M489">
        <v>1</v>
      </c>
      <c r="N489">
        <v>0</v>
      </c>
    </row>
    <row r="490" spans="1:14" x14ac:dyDescent="0.2">
      <c r="A490" s="1">
        <v>45343</v>
      </c>
      <c r="B490">
        <v>3</v>
      </c>
      <c r="C490" t="s">
        <v>13</v>
      </c>
      <c r="D490" s="2">
        <v>0.40833333333333333</v>
      </c>
      <c r="E490">
        <v>17407.52</v>
      </c>
      <c r="F490" s="2">
        <v>0.41388888888888886</v>
      </c>
      <c r="G490">
        <v>17419.71</v>
      </c>
      <c r="H490">
        <v>17419.71</v>
      </c>
      <c r="I490">
        <v>17377.060000000001</v>
      </c>
      <c r="J490" t="s">
        <v>15</v>
      </c>
      <c r="K490">
        <v>-12.19</v>
      </c>
      <c r="L490" s="9">
        <v>-1</v>
      </c>
      <c r="M490">
        <v>0</v>
      </c>
      <c r="N490">
        <v>0</v>
      </c>
    </row>
    <row r="491" spans="1:14" x14ac:dyDescent="0.2">
      <c r="A491" s="1">
        <v>45343</v>
      </c>
      <c r="B491">
        <v>3</v>
      </c>
      <c r="C491" t="s">
        <v>13</v>
      </c>
      <c r="D491" s="2">
        <v>0.44930555555555557</v>
      </c>
      <c r="E491">
        <v>17407.71</v>
      </c>
      <c r="F491" s="2">
        <v>0.45069444444444445</v>
      </c>
      <c r="G491">
        <v>17419.89</v>
      </c>
      <c r="H491">
        <v>17419.89</v>
      </c>
      <c r="I491">
        <v>17377.240000000002</v>
      </c>
      <c r="J491" t="s">
        <v>15</v>
      </c>
      <c r="K491">
        <v>-12.19</v>
      </c>
      <c r="L491" s="9">
        <v>-1</v>
      </c>
      <c r="M491">
        <v>0</v>
      </c>
      <c r="N491">
        <v>2</v>
      </c>
    </row>
    <row r="492" spans="1:14" x14ac:dyDescent="0.2">
      <c r="A492" s="1">
        <v>45345</v>
      </c>
      <c r="B492">
        <v>5</v>
      </c>
      <c r="C492" t="s">
        <v>16</v>
      </c>
      <c r="D492" s="2">
        <v>0.39930555555555558</v>
      </c>
      <c r="E492">
        <v>18081.64</v>
      </c>
      <c r="F492" s="2">
        <v>0.40486111111111112</v>
      </c>
      <c r="G492">
        <v>18068.990000000002</v>
      </c>
      <c r="H492">
        <v>18068.990000000002</v>
      </c>
      <c r="I492">
        <v>18113.29</v>
      </c>
      <c r="J492" t="s">
        <v>15</v>
      </c>
      <c r="K492">
        <v>-12.66</v>
      </c>
      <c r="L492" s="9">
        <v>-1</v>
      </c>
      <c r="M492">
        <v>0</v>
      </c>
      <c r="N492">
        <v>3</v>
      </c>
    </row>
    <row r="493" spans="1:14" x14ac:dyDescent="0.2">
      <c r="A493" s="1">
        <v>45345</v>
      </c>
      <c r="B493">
        <v>5</v>
      </c>
      <c r="C493" t="s">
        <v>13</v>
      </c>
      <c r="D493" s="2">
        <v>0.41805555555555557</v>
      </c>
      <c r="E493">
        <v>18025.810000000001</v>
      </c>
      <c r="F493" s="2">
        <v>0.41875000000000001</v>
      </c>
      <c r="G493">
        <v>18038.43</v>
      </c>
      <c r="H493">
        <v>18038.43</v>
      </c>
      <c r="I493">
        <v>17994.259999999998</v>
      </c>
      <c r="J493" t="s">
        <v>15</v>
      </c>
      <c r="K493">
        <v>-12.62</v>
      </c>
      <c r="L493" s="9">
        <v>-1</v>
      </c>
      <c r="M493">
        <v>0</v>
      </c>
      <c r="N493">
        <v>4</v>
      </c>
    </row>
    <row r="494" spans="1:14" x14ac:dyDescent="0.2">
      <c r="A494" s="1">
        <v>45348</v>
      </c>
      <c r="B494">
        <v>1</v>
      </c>
      <c r="C494" t="s">
        <v>13</v>
      </c>
      <c r="D494" s="2">
        <v>0.41736111111111113</v>
      </c>
      <c r="E494">
        <v>17938.45</v>
      </c>
      <c r="F494" s="2">
        <v>0.41944444444444445</v>
      </c>
      <c r="G494">
        <v>17951.009999999998</v>
      </c>
      <c r="H494">
        <v>17951.009999999998</v>
      </c>
      <c r="I494">
        <v>17907.060000000001</v>
      </c>
      <c r="J494" t="s">
        <v>15</v>
      </c>
      <c r="K494">
        <v>-12.56</v>
      </c>
      <c r="L494" s="9">
        <v>-1</v>
      </c>
      <c r="M494">
        <v>0</v>
      </c>
      <c r="N494">
        <v>5</v>
      </c>
    </row>
    <row r="495" spans="1:14" x14ac:dyDescent="0.2">
      <c r="A495" s="1">
        <v>45348</v>
      </c>
      <c r="B495">
        <v>1</v>
      </c>
      <c r="C495" t="s">
        <v>16</v>
      </c>
      <c r="D495" s="2">
        <v>0.43333333333333335</v>
      </c>
      <c r="E495">
        <v>17980.62</v>
      </c>
      <c r="F495" s="2">
        <v>0.4375</v>
      </c>
      <c r="G495">
        <v>17968.03</v>
      </c>
      <c r="H495">
        <v>17968.03</v>
      </c>
      <c r="I495">
        <v>18012.080000000002</v>
      </c>
      <c r="J495" t="s">
        <v>15</v>
      </c>
      <c r="K495">
        <v>-12.59</v>
      </c>
      <c r="L495" s="9">
        <v>-1</v>
      </c>
      <c r="M495">
        <v>0</v>
      </c>
      <c r="N495">
        <v>6</v>
      </c>
    </row>
    <row r="496" spans="1:14" x14ac:dyDescent="0.2">
      <c r="A496" s="1">
        <v>45350</v>
      </c>
      <c r="B496">
        <v>3</v>
      </c>
      <c r="C496" t="s">
        <v>13</v>
      </c>
      <c r="D496" s="2">
        <v>0.41249999999999998</v>
      </c>
      <c r="E496">
        <v>17847.59</v>
      </c>
      <c r="F496" s="2">
        <v>0.41458333333333336</v>
      </c>
      <c r="G496">
        <v>17860.080000000002</v>
      </c>
      <c r="H496">
        <v>17860.080000000002</v>
      </c>
      <c r="I496">
        <v>17816.349999999999</v>
      </c>
      <c r="J496" t="s">
        <v>15</v>
      </c>
      <c r="K496">
        <v>-12.49</v>
      </c>
      <c r="L496" s="9">
        <v>-1</v>
      </c>
      <c r="M496">
        <v>0</v>
      </c>
      <c r="N496">
        <v>7</v>
      </c>
    </row>
    <row r="497" spans="1:14" x14ac:dyDescent="0.2">
      <c r="A497" s="1">
        <v>45351</v>
      </c>
      <c r="B497">
        <v>4</v>
      </c>
      <c r="C497" t="s">
        <v>16</v>
      </c>
      <c r="D497" s="2">
        <v>0.4</v>
      </c>
      <c r="E497">
        <v>18018.78</v>
      </c>
      <c r="F497" s="2">
        <v>0.40138888888888891</v>
      </c>
      <c r="G497">
        <v>18006.169999999998</v>
      </c>
      <c r="H497">
        <v>18006.169999999998</v>
      </c>
      <c r="I497">
        <v>18050.310000000001</v>
      </c>
      <c r="J497" t="s">
        <v>15</v>
      </c>
      <c r="K497">
        <v>-12.61</v>
      </c>
      <c r="L497" s="9">
        <v>-1</v>
      </c>
      <c r="M497">
        <v>0</v>
      </c>
      <c r="N497">
        <v>8</v>
      </c>
    </row>
    <row r="498" spans="1:14" x14ac:dyDescent="0.2">
      <c r="A498" s="1">
        <v>45356</v>
      </c>
      <c r="B498">
        <v>2</v>
      </c>
      <c r="C498" t="s">
        <v>13</v>
      </c>
      <c r="D498" s="2">
        <v>0.40138888888888891</v>
      </c>
      <c r="E498">
        <v>18044.060000000001</v>
      </c>
      <c r="F498" s="2">
        <v>0.40763888888888888</v>
      </c>
      <c r="G498">
        <v>18012.490000000002</v>
      </c>
      <c r="H498">
        <v>18056.689999999999</v>
      </c>
      <c r="I498">
        <v>18012.490000000002</v>
      </c>
      <c r="J498" t="s">
        <v>14</v>
      </c>
      <c r="K498">
        <v>31.58</v>
      </c>
      <c r="L498" s="9">
        <v>2.5</v>
      </c>
      <c r="M498">
        <v>1</v>
      </c>
      <c r="N498">
        <v>0</v>
      </c>
    </row>
    <row r="499" spans="1:14" x14ac:dyDescent="0.2">
      <c r="A499" s="1">
        <v>45356</v>
      </c>
      <c r="B499">
        <v>2</v>
      </c>
      <c r="C499" t="s">
        <v>13</v>
      </c>
      <c r="D499" s="2">
        <v>0.42638888888888887</v>
      </c>
      <c r="E499">
        <v>17981.03</v>
      </c>
      <c r="F499" s="2">
        <v>0.42916666666666664</v>
      </c>
      <c r="G499">
        <v>17949.560000000001</v>
      </c>
      <c r="H499">
        <v>17993.61</v>
      </c>
      <c r="I499">
        <v>17949.560000000001</v>
      </c>
      <c r="J499" t="s">
        <v>14</v>
      </c>
      <c r="K499">
        <v>31.47</v>
      </c>
      <c r="L499" s="9">
        <v>2.5</v>
      </c>
      <c r="M499">
        <v>1</v>
      </c>
      <c r="N499">
        <v>2</v>
      </c>
    </row>
    <row r="500" spans="1:14" x14ac:dyDescent="0.2">
      <c r="A500" s="1">
        <v>45358</v>
      </c>
      <c r="B500">
        <v>4</v>
      </c>
      <c r="C500" t="s">
        <v>16</v>
      </c>
      <c r="D500" s="2">
        <v>0.40208333333333335</v>
      </c>
      <c r="E500">
        <v>18185.77</v>
      </c>
      <c r="F500" s="2">
        <v>0.40277777777777779</v>
      </c>
      <c r="G500">
        <v>18173.04</v>
      </c>
      <c r="H500">
        <v>18173.04</v>
      </c>
      <c r="I500">
        <v>18217.59</v>
      </c>
      <c r="J500" t="s">
        <v>15</v>
      </c>
      <c r="K500">
        <v>-12.73</v>
      </c>
      <c r="L500" s="9">
        <v>-1</v>
      </c>
      <c r="M500">
        <v>0</v>
      </c>
      <c r="N500">
        <v>0</v>
      </c>
    </row>
    <row r="501" spans="1:14" x14ac:dyDescent="0.2">
      <c r="A501" s="1">
        <v>45358</v>
      </c>
      <c r="B501">
        <v>4</v>
      </c>
      <c r="C501" t="s">
        <v>16</v>
      </c>
      <c r="D501" s="2">
        <v>0.4284722222222222</v>
      </c>
      <c r="E501">
        <v>18196.96</v>
      </c>
      <c r="F501" s="2">
        <v>0.44374999999999998</v>
      </c>
      <c r="G501">
        <v>18228.8</v>
      </c>
      <c r="H501">
        <v>18184.22</v>
      </c>
      <c r="I501">
        <v>18228.8</v>
      </c>
      <c r="J501" t="s">
        <v>14</v>
      </c>
      <c r="K501">
        <v>31.84</v>
      </c>
      <c r="L501" s="9">
        <v>2.5</v>
      </c>
      <c r="M501">
        <v>1</v>
      </c>
      <c r="N501">
        <v>0</v>
      </c>
    </row>
    <row r="502" spans="1:14" x14ac:dyDescent="0.2">
      <c r="A502" s="1">
        <v>45359</v>
      </c>
      <c r="B502">
        <v>5</v>
      </c>
      <c r="C502" t="s">
        <v>13</v>
      </c>
      <c r="D502" s="2">
        <v>0.3972222222222222</v>
      </c>
      <c r="E502">
        <v>18300.810000000001</v>
      </c>
      <c r="F502" s="2">
        <v>0.39791666666666664</v>
      </c>
      <c r="G502">
        <v>18313.62</v>
      </c>
      <c r="H502">
        <v>18313.62</v>
      </c>
      <c r="I502">
        <v>18268.79</v>
      </c>
      <c r="J502" t="s">
        <v>15</v>
      </c>
      <c r="K502">
        <v>-12.81</v>
      </c>
      <c r="L502" s="9">
        <v>-1</v>
      </c>
      <c r="M502">
        <v>0</v>
      </c>
      <c r="N502">
        <v>0</v>
      </c>
    </row>
    <row r="503" spans="1:14" x14ac:dyDescent="0.2">
      <c r="A503" s="1">
        <v>45359</v>
      </c>
      <c r="B503">
        <v>5</v>
      </c>
      <c r="C503" t="s">
        <v>16</v>
      </c>
      <c r="D503" s="2">
        <v>0.41388888888888886</v>
      </c>
      <c r="E503">
        <v>18351.59</v>
      </c>
      <c r="F503" s="2">
        <v>0.4201388888888889</v>
      </c>
      <c r="G503">
        <v>18383.71</v>
      </c>
      <c r="H503">
        <v>18338.75</v>
      </c>
      <c r="I503">
        <v>18383.71</v>
      </c>
      <c r="J503" t="s">
        <v>14</v>
      </c>
      <c r="K503">
        <v>32.119999999999997</v>
      </c>
      <c r="L503" s="9">
        <v>2.5</v>
      </c>
      <c r="M503">
        <v>1</v>
      </c>
      <c r="N503">
        <v>0</v>
      </c>
    </row>
    <row r="504" spans="1:14" x14ac:dyDescent="0.2">
      <c r="A504" s="1">
        <v>45359</v>
      </c>
      <c r="B504">
        <v>5</v>
      </c>
      <c r="C504" t="s">
        <v>13</v>
      </c>
      <c r="D504" s="2">
        <v>0.4513888888888889</v>
      </c>
      <c r="E504">
        <v>18347.439999999999</v>
      </c>
      <c r="F504" s="2">
        <v>0.45347222222222222</v>
      </c>
      <c r="G504">
        <v>18360.29</v>
      </c>
      <c r="H504">
        <v>18360.29</v>
      </c>
      <c r="I504">
        <v>18315.34</v>
      </c>
      <c r="J504" t="s">
        <v>15</v>
      </c>
      <c r="K504">
        <v>-12.84</v>
      </c>
      <c r="L504" s="9">
        <v>-1</v>
      </c>
      <c r="M504">
        <v>0</v>
      </c>
      <c r="N504">
        <v>0</v>
      </c>
    </row>
    <row r="505" spans="1:14" x14ac:dyDescent="0.2">
      <c r="A505" s="1">
        <v>45362</v>
      </c>
      <c r="B505">
        <v>1</v>
      </c>
      <c r="C505" t="s">
        <v>13</v>
      </c>
      <c r="D505" s="2">
        <v>0.41875000000000001</v>
      </c>
      <c r="E505">
        <v>17895.73</v>
      </c>
      <c r="F505" s="2">
        <v>0.42291666666666666</v>
      </c>
      <c r="G505">
        <v>17908.259999999998</v>
      </c>
      <c r="H505">
        <v>17908.259999999998</v>
      </c>
      <c r="I505">
        <v>17864.419999999998</v>
      </c>
      <c r="J505" t="s">
        <v>15</v>
      </c>
      <c r="K505">
        <v>-12.53</v>
      </c>
      <c r="L505" s="9">
        <v>-1</v>
      </c>
      <c r="M505">
        <v>0</v>
      </c>
      <c r="N505">
        <v>2</v>
      </c>
    </row>
    <row r="506" spans="1:14" x14ac:dyDescent="0.2">
      <c r="A506" s="1">
        <v>45362</v>
      </c>
      <c r="B506">
        <v>1</v>
      </c>
      <c r="C506" t="s">
        <v>16</v>
      </c>
      <c r="D506" s="2">
        <v>0.44236111111111109</v>
      </c>
      <c r="E506">
        <v>17949.64</v>
      </c>
      <c r="F506" s="2">
        <v>0.44305555555555554</v>
      </c>
      <c r="G506">
        <v>17937.080000000002</v>
      </c>
      <c r="H506">
        <v>17937.080000000002</v>
      </c>
      <c r="I506">
        <v>17981.05</v>
      </c>
      <c r="J506" t="s">
        <v>15</v>
      </c>
      <c r="K506">
        <v>-12.56</v>
      </c>
      <c r="L506" s="9">
        <v>-1</v>
      </c>
      <c r="M506">
        <v>0</v>
      </c>
      <c r="N506">
        <v>3</v>
      </c>
    </row>
    <row r="507" spans="1:14" x14ac:dyDescent="0.2">
      <c r="A507" s="1">
        <v>45363</v>
      </c>
      <c r="B507">
        <v>2</v>
      </c>
      <c r="C507" t="s">
        <v>13</v>
      </c>
      <c r="D507" s="2">
        <v>0.40416666666666667</v>
      </c>
      <c r="E507">
        <v>17975.57</v>
      </c>
      <c r="F507" s="2">
        <v>0.40486111111111112</v>
      </c>
      <c r="G507">
        <v>17944.11</v>
      </c>
      <c r="H507">
        <v>17988.16</v>
      </c>
      <c r="I507">
        <v>17944.11</v>
      </c>
      <c r="J507" t="s">
        <v>14</v>
      </c>
      <c r="K507">
        <v>31.46</v>
      </c>
      <c r="L507" s="9">
        <v>2.5</v>
      </c>
      <c r="M507">
        <v>1</v>
      </c>
      <c r="N507">
        <v>0</v>
      </c>
    </row>
    <row r="508" spans="1:14" x14ac:dyDescent="0.2">
      <c r="A508" s="1">
        <v>45363</v>
      </c>
      <c r="B508">
        <v>2</v>
      </c>
      <c r="C508" t="s">
        <v>16</v>
      </c>
      <c r="D508" s="2">
        <v>0.42291666666666666</v>
      </c>
      <c r="E508">
        <v>18053.46</v>
      </c>
      <c r="F508" s="2">
        <v>0.42569444444444443</v>
      </c>
      <c r="G508">
        <v>18040.82</v>
      </c>
      <c r="H508">
        <v>18040.82</v>
      </c>
      <c r="I508">
        <v>18085.05</v>
      </c>
      <c r="J508" t="s">
        <v>15</v>
      </c>
      <c r="K508">
        <v>-12.64</v>
      </c>
      <c r="L508" s="9">
        <v>-1</v>
      </c>
      <c r="M508">
        <v>0</v>
      </c>
      <c r="N508">
        <v>0</v>
      </c>
    </row>
    <row r="509" spans="1:14" x14ac:dyDescent="0.2">
      <c r="A509" s="1">
        <v>45364</v>
      </c>
      <c r="B509">
        <v>3</v>
      </c>
      <c r="C509" t="s">
        <v>13</v>
      </c>
      <c r="D509" s="2">
        <v>0.40972222222222221</v>
      </c>
      <c r="E509">
        <v>18095.97</v>
      </c>
      <c r="F509" s="2">
        <v>0.41666666666666669</v>
      </c>
      <c r="G509">
        <v>18064.3</v>
      </c>
      <c r="H509">
        <v>18108.64</v>
      </c>
      <c r="I509">
        <v>18064.3</v>
      </c>
      <c r="J509" t="s">
        <v>14</v>
      </c>
      <c r="K509">
        <v>31.67</v>
      </c>
      <c r="L509" s="9">
        <v>2.5</v>
      </c>
      <c r="M509">
        <v>1</v>
      </c>
      <c r="N509">
        <v>0</v>
      </c>
    </row>
    <row r="510" spans="1:14" x14ac:dyDescent="0.2">
      <c r="A510" s="1">
        <v>45364</v>
      </c>
      <c r="B510">
        <v>3</v>
      </c>
      <c r="C510" t="s">
        <v>16</v>
      </c>
      <c r="D510" s="2">
        <v>0.44861111111111113</v>
      </c>
      <c r="E510">
        <v>18114.169999999998</v>
      </c>
      <c r="F510" s="2">
        <v>0.45</v>
      </c>
      <c r="G510">
        <v>18101.490000000002</v>
      </c>
      <c r="H510">
        <v>18101.490000000002</v>
      </c>
      <c r="I510">
        <v>18145.87</v>
      </c>
      <c r="J510" t="s">
        <v>15</v>
      </c>
      <c r="K510">
        <v>-12.68</v>
      </c>
      <c r="L510" s="9">
        <v>-1</v>
      </c>
      <c r="M510">
        <v>0</v>
      </c>
      <c r="N510">
        <v>0</v>
      </c>
    </row>
    <row r="511" spans="1:14" x14ac:dyDescent="0.2">
      <c r="A511" s="1">
        <v>45365</v>
      </c>
      <c r="B511">
        <v>4</v>
      </c>
      <c r="C511" t="s">
        <v>13</v>
      </c>
      <c r="D511" s="2">
        <v>0.41319444444444442</v>
      </c>
      <c r="E511">
        <v>17993.73</v>
      </c>
      <c r="F511" s="2">
        <v>0.41388888888888886</v>
      </c>
      <c r="G511">
        <v>18006.330000000002</v>
      </c>
      <c r="H511">
        <v>18006.330000000002</v>
      </c>
      <c r="I511">
        <v>17962.240000000002</v>
      </c>
      <c r="J511" t="s">
        <v>15</v>
      </c>
      <c r="K511">
        <v>-12.6</v>
      </c>
      <c r="L511" s="9">
        <v>-1</v>
      </c>
      <c r="M511">
        <v>0</v>
      </c>
      <c r="N511">
        <v>2</v>
      </c>
    </row>
    <row r="512" spans="1:14" x14ac:dyDescent="0.2">
      <c r="A512" s="1">
        <v>45365</v>
      </c>
      <c r="B512">
        <v>4</v>
      </c>
      <c r="C512" t="s">
        <v>16</v>
      </c>
      <c r="D512" s="2">
        <v>0.43958333333333333</v>
      </c>
      <c r="E512">
        <v>18070.060000000001</v>
      </c>
      <c r="F512" s="2">
        <v>0.44444444444444442</v>
      </c>
      <c r="G512">
        <v>18057.41</v>
      </c>
      <c r="H512">
        <v>18057.41</v>
      </c>
      <c r="I512">
        <v>18101.68</v>
      </c>
      <c r="J512" t="s">
        <v>15</v>
      </c>
      <c r="K512">
        <v>-12.65</v>
      </c>
      <c r="L512" s="9">
        <v>-1</v>
      </c>
      <c r="M512">
        <v>0</v>
      </c>
      <c r="N512">
        <v>3</v>
      </c>
    </row>
    <row r="513" spans="1:14" x14ac:dyDescent="0.2">
      <c r="A513" s="1">
        <v>45365</v>
      </c>
      <c r="B513">
        <v>4</v>
      </c>
      <c r="C513" t="s">
        <v>13</v>
      </c>
      <c r="D513" s="2">
        <v>0.45624999999999999</v>
      </c>
      <c r="E513">
        <v>18043.18</v>
      </c>
      <c r="F513" s="2">
        <v>0.45833333333333331</v>
      </c>
      <c r="G513">
        <v>18055.810000000001</v>
      </c>
      <c r="H513">
        <v>18055.810000000001</v>
      </c>
      <c r="I513">
        <v>18011.599999999999</v>
      </c>
      <c r="J513" t="s">
        <v>15</v>
      </c>
      <c r="K513">
        <v>-12.63</v>
      </c>
      <c r="L513" s="9">
        <v>-1</v>
      </c>
      <c r="M513">
        <v>0</v>
      </c>
      <c r="N513">
        <v>4</v>
      </c>
    </row>
    <row r="514" spans="1:14" x14ac:dyDescent="0.2">
      <c r="A514" s="1">
        <v>45366</v>
      </c>
      <c r="B514">
        <v>5</v>
      </c>
      <c r="C514" t="s">
        <v>13</v>
      </c>
      <c r="D514" s="2">
        <v>0.39583333333333331</v>
      </c>
      <c r="E514">
        <v>17913.98</v>
      </c>
      <c r="F514" s="2">
        <v>0.39652777777777776</v>
      </c>
      <c r="G514">
        <v>17882.63</v>
      </c>
      <c r="H514">
        <v>17926.52</v>
      </c>
      <c r="I514">
        <v>17882.63</v>
      </c>
      <c r="J514" t="s">
        <v>14</v>
      </c>
      <c r="K514">
        <v>31.35</v>
      </c>
      <c r="L514" s="9">
        <v>2.5</v>
      </c>
      <c r="M514">
        <v>1</v>
      </c>
      <c r="N514">
        <v>0</v>
      </c>
    </row>
    <row r="515" spans="1:14" x14ac:dyDescent="0.2">
      <c r="A515" s="1">
        <v>45366</v>
      </c>
      <c r="B515">
        <v>5</v>
      </c>
      <c r="C515" t="s">
        <v>16</v>
      </c>
      <c r="D515" s="2">
        <v>0.44444444444444442</v>
      </c>
      <c r="E515">
        <v>17884.68</v>
      </c>
      <c r="F515" s="2">
        <v>0.45069444444444445</v>
      </c>
      <c r="G515">
        <v>17915.97</v>
      </c>
      <c r="H515">
        <v>17872.16</v>
      </c>
      <c r="I515">
        <v>17915.97</v>
      </c>
      <c r="J515" t="s">
        <v>14</v>
      </c>
      <c r="K515">
        <v>31.3</v>
      </c>
      <c r="L515" s="9">
        <v>2.5</v>
      </c>
      <c r="M515">
        <v>1</v>
      </c>
      <c r="N515">
        <v>2</v>
      </c>
    </row>
    <row r="516" spans="1:14" x14ac:dyDescent="0.2">
      <c r="A516" s="1">
        <v>45369</v>
      </c>
      <c r="B516">
        <v>1</v>
      </c>
      <c r="C516" t="s">
        <v>16</v>
      </c>
      <c r="D516" s="2">
        <v>0.40069444444444446</v>
      </c>
      <c r="E516">
        <v>18076.86</v>
      </c>
      <c r="F516" s="2">
        <v>0.40694444444444444</v>
      </c>
      <c r="G516">
        <v>18108.5</v>
      </c>
      <c r="H516">
        <v>18064.21</v>
      </c>
      <c r="I516">
        <v>18108.5</v>
      </c>
      <c r="J516" t="s">
        <v>14</v>
      </c>
      <c r="K516">
        <v>31.63</v>
      </c>
      <c r="L516" s="9">
        <v>2.5</v>
      </c>
      <c r="M516">
        <v>1</v>
      </c>
      <c r="N516">
        <v>3</v>
      </c>
    </row>
    <row r="517" spans="1:14" x14ac:dyDescent="0.2">
      <c r="A517" s="1">
        <v>45369</v>
      </c>
      <c r="B517">
        <v>1</v>
      </c>
      <c r="C517" t="s">
        <v>16</v>
      </c>
      <c r="D517" s="2">
        <v>0.43680555555555556</v>
      </c>
      <c r="E517">
        <v>18114.66</v>
      </c>
      <c r="F517" s="2">
        <v>0.43819444444444444</v>
      </c>
      <c r="G517">
        <v>18101.98</v>
      </c>
      <c r="H517">
        <v>18101.98</v>
      </c>
      <c r="I517">
        <v>18146.36</v>
      </c>
      <c r="J517" t="s">
        <v>15</v>
      </c>
      <c r="K517">
        <v>-12.68</v>
      </c>
      <c r="L517" s="9">
        <v>-1</v>
      </c>
      <c r="M517">
        <v>0</v>
      </c>
      <c r="N517">
        <v>0</v>
      </c>
    </row>
    <row r="518" spans="1:14" x14ac:dyDescent="0.2">
      <c r="A518" s="1">
        <v>45370</v>
      </c>
      <c r="B518">
        <v>2</v>
      </c>
      <c r="C518" t="s">
        <v>13</v>
      </c>
      <c r="D518" s="2">
        <v>0.40555555555555556</v>
      </c>
      <c r="E518">
        <v>17824.28</v>
      </c>
      <c r="F518" s="2">
        <v>0.41041666666666665</v>
      </c>
      <c r="G518">
        <v>17836.759999999998</v>
      </c>
      <c r="H518">
        <v>17836.759999999998</v>
      </c>
      <c r="I518">
        <v>17793.09</v>
      </c>
      <c r="J518" t="s">
        <v>15</v>
      </c>
      <c r="K518">
        <v>-12.48</v>
      </c>
      <c r="L518" s="9">
        <v>-1</v>
      </c>
      <c r="M518">
        <v>0</v>
      </c>
      <c r="N518">
        <v>2</v>
      </c>
    </row>
    <row r="519" spans="1:14" x14ac:dyDescent="0.2">
      <c r="A519" s="1">
        <v>45370</v>
      </c>
      <c r="B519">
        <v>2</v>
      </c>
      <c r="C519" t="s">
        <v>13</v>
      </c>
      <c r="D519" s="2">
        <v>0.43958333333333333</v>
      </c>
      <c r="E519">
        <v>17836.849999999999</v>
      </c>
      <c r="F519" s="2">
        <v>0.44027777777777777</v>
      </c>
      <c r="G519">
        <v>17849.330000000002</v>
      </c>
      <c r="H519">
        <v>17849.330000000002</v>
      </c>
      <c r="I519">
        <v>17805.63</v>
      </c>
      <c r="J519" t="s">
        <v>15</v>
      </c>
      <c r="K519">
        <v>-12.49</v>
      </c>
      <c r="L519" s="9">
        <v>-1</v>
      </c>
      <c r="M519">
        <v>0</v>
      </c>
      <c r="N519">
        <v>3</v>
      </c>
    </row>
    <row r="520" spans="1:14" x14ac:dyDescent="0.2">
      <c r="A520" s="1">
        <v>45370</v>
      </c>
      <c r="B520">
        <v>2</v>
      </c>
      <c r="C520" t="s">
        <v>16</v>
      </c>
      <c r="D520" s="2">
        <v>0.44861111111111113</v>
      </c>
      <c r="E520">
        <v>17882.169999999998</v>
      </c>
      <c r="F520" s="2">
        <v>0.45833333333333331</v>
      </c>
      <c r="G520">
        <v>17869.650000000001</v>
      </c>
      <c r="H520">
        <v>17869.650000000001</v>
      </c>
      <c r="I520">
        <v>17913.46</v>
      </c>
      <c r="J520" t="s">
        <v>15</v>
      </c>
      <c r="K520">
        <v>-12.52</v>
      </c>
      <c r="L520" s="9">
        <v>-1</v>
      </c>
      <c r="M520">
        <v>0</v>
      </c>
      <c r="N520">
        <v>4</v>
      </c>
    </row>
    <row r="521" spans="1:14" x14ac:dyDescent="0.2">
      <c r="A521" s="1">
        <v>45373</v>
      </c>
      <c r="B521">
        <v>5</v>
      </c>
      <c r="C521" t="s">
        <v>13</v>
      </c>
      <c r="D521" s="2">
        <v>0.40763888888888888</v>
      </c>
      <c r="E521">
        <v>18277.72</v>
      </c>
      <c r="F521" s="2">
        <v>0.41111111111111109</v>
      </c>
      <c r="G521">
        <v>18290.509999999998</v>
      </c>
      <c r="H521">
        <v>18290.509999999998</v>
      </c>
      <c r="I521">
        <v>18245.73</v>
      </c>
      <c r="J521" t="s">
        <v>15</v>
      </c>
      <c r="K521">
        <v>-12.79</v>
      </c>
      <c r="L521" s="9">
        <v>-1</v>
      </c>
      <c r="M521">
        <v>0</v>
      </c>
      <c r="N521">
        <v>5</v>
      </c>
    </row>
    <row r="522" spans="1:14" x14ac:dyDescent="0.2">
      <c r="A522" s="1">
        <v>45373</v>
      </c>
      <c r="B522">
        <v>5</v>
      </c>
      <c r="C522" t="s">
        <v>16</v>
      </c>
      <c r="D522" s="2">
        <v>0.42152777777777778</v>
      </c>
      <c r="E522">
        <v>18317.599999999999</v>
      </c>
      <c r="F522" s="2">
        <v>0.42291666666666666</v>
      </c>
      <c r="G522">
        <v>18304.78</v>
      </c>
      <c r="H522">
        <v>18304.78</v>
      </c>
      <c r="I522">
        <v>18349.66</v>
      </c>
      <c r="J522" t="s">
        <v>15</v>
      </c>
      <c r="K522">
        <v>-12.82</v>
      </c>
      <c r="L522" s="9">
        <v>-1</v>
      </c>
      <c r="M522">
        <v>0</v>
      </c>
      <c r="N522">
        <v>6</v>
      </c>
    </row>
    <row r="523" spans="1:14" x14ac:dyDescent="0.2">
      <c r="A523" s="1">
        <v>45373</v>
      </c>
      <c r="B523">
        <v>5</v>
      </c>
      <c r="C523" t="s">
        <v>13</v>
      </c>
      <c r="D523" s="2">
        <v>0.44305555555555554</v>
      </c>
      <c r="E523">
        <v>18282.330000000002</v>
      </c>
      <c r="F523" s="2">
        <v>0.4597222222222222</v>
      </c>
      <c r="G523">
        <v>18295.13</v>
      </c>
      <c r="H523">
        <v>18295.13</v>
      </c>
      <c r="I523">
        <v>18250.330000000002</v>
      </c>
      <c r="J523" t="s">
        <v>15</v>
      </c>
      <c r="K523">
        <v>-12.8</v>
      </c>
      <c r="L523" s="9">
        <v>-1</v>
      </c>
      <c r="M523">
        <v>0</v>
      </c>
      <c r="N523">
        <v>7</v>
      </c>
    </row>
    <row r="524" spans="1:14" x14ac:dyDescent="0.2">
      <c r="A524" s="1">
        <v>45376</v>
      </c>
      <c r="B524">
        <v>1</v>
      </c>
      <c r="C524" t="s">
        <v>13</v>
      </c>
      <c r="D524" s="2">
        <v>0.3972222222222222</v>
      </c>
      <c r="E524">
        <v>18226.34</v>
      </c>
      <c r="F524" s="2">
        <v>0.39791666666666664</v>
      </c>
      <c r="G524">
        <v>18239.09</v>
      </c>
      <c r="H524">
        <v>18239.09</v>
      </c>
      <c r="I524">
        <v>18194.439999999999</v>
      </c>
      <c r="J524" t="s">
        <v>15</v>
      </c>
      <c r="K524">
        <v>-12.76</v>
      </c>
      <c r="L524" s="9">
        <v>-1</v>
      </c>
      <c r="M524">
        <v>0</v>
      </c>
      <c r="N524">
        <v>8</v>
      </c>
    </row>
    <row r="525" spans="1:14" x14ac:dyDescent="0.2">
      <c r="A525" s="1">
        <v>45376</v>
      </c>
      <c r="B525">
        <v>1</v>
      </c>
      <c r="C525" t="s">
        <v>16</v>
      </c>
      <c r="D525" s="2">
        <v>0.42638888888888887</v>
      </c>
      <c r="E525">
        <v>18282.36</v>
      </c>
      <c r="F525" s="2">
        <v>0.45</v>
      </c>
      <c r="G525">
        <v>18269.560000000001</v>
      </c>
      <c r="H525">
        <v>18269.560000000001</v>
      </c>
      <c r="I525">
        <v>18314.349999999999</v>
      </c>
      <c r="J525" t="s">
        <v>15</v>
      </c>
      <c r="K525">
        <v>-12.8</v>
      </c>
      <c r="L525" s="9">
        <v>-1</v>
      </c>
      <c r="M525">
        <v>0</v>
      </c>
      <c r="N525">
        <v>9</v>
      </c>
    </row>
    <row r="526" spans="1:14" x14ac:dyDescent="0.2">
      <c r="A526" s="1">
        <v>45378</v>
      </c>
      <c r="B526">
        <v>3</v>
      </c>
      <c r="C526" t="s">
        <v>13</v>
      </c>
      <c r="D526" s="2">
        <v>0.40416666666666667</v>
      </c>
      <c r="E526">
        <v>18281.53</v>
      </c>
      <c r="F526" s="2">
        <v>0.40763888888888888</v>
      </c>
      <c r="G526">
        <v>18294.330000000002</v>
      </c>
      <c r="H526">
        <v>18294.330000000002</v>
      </c>
      <c r="I526">
        <v>18249.54</v>
      </c>
      <c r="J526" t="s">
        <v>15</v>
      </c>
      <c r="K526">
        <v>-12.8</v>
      </c>
      <c r="L526" s="9">
        <v>-1</v>
      </c>
      <c r="M526">
        <v>0</v>
      </c>
      <c r="N526">
        <v>10</v>
      </c>
    </row>
    <row r="527" spans="1:14" x14ac:dyDescent="0.2">
      <c r="A527" s="1">
        <v>45384</v>
      </c>
      <c r="B527">
        <v>2</v>
      </c>
      <c r="C527" t="s">
        <v>13</v>
      </c>
      <c r="D527" s="2">
        <v>0.40555555555555556</v>
      </c>
      <c r="E527">
        <v>18035.060000000001</v>
      </c>
      <c r="F527" s="2">
        <v>0.41666666666666669</v>
      </c>
      <c r="G527">
        <v>18047.68</v>
      </c>
      <c r="H527">
        <v>18047.68</v>
      </c>
      <c r="I527">
        <v>18003.5</v>
      </c>
      <c r="J527" t="s">
        <v>15</v>
      </c>
      <c r="K527">
        <v>-12.62</v>
      </c>
      <c r="L527" s="9">
        <v>-1</v>
      </c>
      <c r="M527">
        <v>0</v>
      </c>
      <c r="N527">
        <v>11</v>
      </c>
    </row>
    <row r="528" spans="1:14" x14ac:dyDescent="0.2">
      <c r="A528" s="1">
        <v>45384</v>
      </c>
      <c r="B528">
        <v>2</v>
      </c>
      <c r="C528" t="s">
        <v>13</v>
      </c>
      <c r="D528" s="2">
        <v>0.42777777777777776</v>
      </c>
      <c r="E528">
        <v>18014.669999999998</v>
      </c>
      <c r="F528" s="2">
        <v>0.43263888888888891</v>
      </c>
      <c r="G528">
        <v>18027.28</v>
      </c>
      <c r="H528">
        <v>18027.28</v>
      </c>
      <c r="I528">
        <v>17983.14</v>
      </c>
      <c r="J528" t="s">
        <v>15</v>
      </c>
      <c r="K528">
        <v>-12.61</v>
      </c>
      <c r="L528" s="9">
        <v>-1</v>
      </c>
      <c r="M528">
        <v>0</v>
      </c>
      <c r="N528">
        <v>12</v>
      </c>
    </row>
    <row r="529" spans="1:14" x14ac:dyDescent="0.2">
      <c r="A529" s="1">
        <v>45384</v>
      </c>
      <c r="B529">
        <v>2</v>
      </c>
      <c r="C529" t="s">
        <v>13</v>
      </c>
      <c r="D529" s="2">
        <v>0.45763888888888887</v>
      </c>
      <c r="E529">
        <v>18013.240000000002</v>
      </c>
      <c r="F529" s="2">
        <v>0.46319444444444446</v>
      </c>
      <c r="G529">
        <v>18025.849999999999</v>
      </c>
      <c r="H529">
        <v>18025.849999999999</v>
      </c>
      <c r="I529">
        <v>17981.72</v>
      </c>
      <c r="J529" t="s">
        <v>15</v>
      </c>
      <c r="K529">
        <v>-12.61</v>
      </c>
      <c r="L529" s="9">
        <v>-1</v>
      </c>
      <c r="M529">
        <v>0</v>
      </c>
      <c r="N529">
        <v>13</v>
      </c>
    </row>
    <row r="530" spans="1:14" x14ac:dyDescent="0.2">
      <c r="A530" s="1">
        <v>45386</v>
      </c>
      <c r="B530">
        <v>4</v>
      </c>
      <c r="C530" t="s">
        <v>13</v>
      </c>
      <c r="D530" s="2">
        <v>0.41319444444444442</v>
      </c>
      <c r="E530">
        <v>18320.349999999999</v>
      </c>
      <c r="F530" s="2">
        <v>0.43263888888888891</v>
      </c>
      <c r="G530">
        <v>18288.29</v>
      </c>
      <c r="H530">
        <v>18333.169999999998</v>
      </c>
      <c r="I530">
        <v>18288.29</v>
      </c>
      <c r="J530" t="s">
        <v>14</v>
      </c>
      <c r="K530">
        <v>32.06</v>
      </c>
      <c r="L530" s="9">
        <v>2.5</v>
      </c>
      <c r="M530">
        <v>1</v>
      </c>
      <c r="N530">
        <v>0</v>
      </c>
    </row>
    <row r="531" spans="1:14" x14ac:dyDescent="0.2">
      <c r="A531" s="1">
        <v>45386</v>
      </c>
      <c r="B531">
        <v>4</v>
      </c>
      <c r="C531" t="s">
        <v>13</v>
      </c>
      <c r="D531" s="2">
        <v>0.45624999999999999</v>
      </c>
      <c r="E531">
        <v>18292.57</v>
      </c>
      <c r="F531" s="2">
        <v>0.46319444444444446</v>
      </c>
      <c r="G531">
        <v>18305.37</v>
      </c>
      <c r="H531">
        <v>18305.37</v>
      </c>
      <c r="I531">
        <v>18260.55</v>
      </c>
      <c r="J531" t="s">
        <v>15</v>
      </c>
      <c r="K531">
        <v>-12.8</v>
      </c>
      <c r="L531" s="9">
        <v>-1</v>
      </c>
      <c r="M531">
        <v>0</v>
      </c>
      <c r="N531">
        <v>0</v>
      </c>
    </row>
    <row r="532" spans="1:14" x14ac:dyDescent="0.2">
      <c r="A532" s="1">
        <v>45387</v>
      </c>
      <c r="B532">
        <v>5</v>
      </c>
      <c r="C532" t="s">
        <v>16</v>
      </c>
      <c r="D532" s="2">
        <v>0.40972222222222221</v>
      </c>
      <c r="E532">
        <v>17991.91</v>
      </c>
      <c r="F532" s="2">
        <v>0.41249999999999998</v>
      </c>
      <c r="G532">
        <v>18023.39</v>
      </c>
      <c r="H532">
        <v>17979.310000000001</v>
      </c>
      <c r="I532">
        <v>18023.39</v>
      </c>
      <c r="J532" t="s">
        <v>14</v>
      </c>
      <c r="K532">
        <v>31.49</v>
      </c>
      <c r="L532" s="9">
        <v>2.5</v>
      </c>
      <c r="M532">
        <v>1</v>
      </c>
      <c r="N532">
        <v>0</v>
      </c>
    </row>
    <row r="533" spans="1:14" x14ac:dyDescent="0.2">
      <c r="A533" s="1">
        <v>45387</v>
      </c>
      <c r="B533">
        <v>5</v>
      </c>
      <c r="C533" t="s">
        <v>16</v>
      </c>
      <c r="D533" s="2">
        <v>0.44791666666666669</v>
      </c>
      <c r="E533">
        <v>18040.990000000002</v>
      </c>
      <c r="F533" s="2">
        <v>0.45069444444444445</v>
      </c>
      <c r="G533">
        <v>18072.560000000001</v>
      </c>
      <c r="H533">
        <v>18028.36</v>
      </c>
      <c r="I533">
        <v>18072.560000000001</v>
      </c>
      <c r="J533" t="s">
        <v>14</v>
      </c>
      <c r="K533">
        <v>31.57</v>
      </c>
      <c r="L533" s="9">
        <v>2.5</v>
      </c>
      <c r="M533">
        <v>1</v>
      </c>
      <c r="N533">
        <v>2</v>
      </c>
    </row>
    <row r="534" spans="1:14" x14ac:dyDescent="0.2">
      <c r="A534" s="1">
        <v>45390</v>
      </c>
      <c r="B534">
        <v>1</v>
      </c>
      <c r="C534" t="s">
        <v>13</v>
      </c>
      <c r="D534" s="2">
        <v>0.40069444444444446</v>
      </c>
      <c r="E534">
        <v>18096.310000000001</v>
      </c>
      <c r="F534" s="2">
        <v>0.40208333333333335</v>
      </c>
      <c r="G534">
        <v>18064.64</v>
      </c>
      <c r="H534">
        <v>18108.98</v>
      </c>
      <c r="I534">
        <v>18064.64</v>
      </c>
      <c r="J534" t="s">
        <v>14</v>
      </c>
      <c r="K534">
        <v>31.67</v>
      </c>
      <c r="L534" s="9">
        <v>2.5</v>
      </c>
      <c r="M534">
        <v>1</v>
      </c>
      <c r="N534">
        <v>3</v>
      </c>
    </row>
    <row r="535" spans="1:14" x14ac:dyDescent="0.2">
      <c r="A535" s="1">
        <v>45390</v>
      </c>
      <c r="B535">
        <v>1</v>
      </c>
      <c r="C535" t="s">
        <v>16</v>
      </c>
      <c r="D535" s="2">
        <v>0.44027777777777777</v>
      </c>
      <c r="E535">
        <v>18164.830000000002</v>
      </c>
      <c r="F535" s="2">
        <v>0.44513888888888886</v>
      </c>
      <c r="G535">
        <v>18152.11</v>
      </c>
      <c r="H535">
        <v>18152.11</v>
      </c>
      <c r="I535">
        <v>18196.62</v>
      </c>
      <c r="J535" t="s">
        <v>15</v>
      </c>
      <c r="K535">
        <v>-12.72</v>
      </c>
      <c r="L535" s="9">
        <v>-1</v>
      </c>
      <c r="M535">
        <v>0</v>
      </c>
      <c r="N535">
        <v>0</v>
      </c>
    </row>
    <row r="536" spans="1:14" x14ac:dyDescent="0.2">
      <c r="A536" s="1">
        <v>45390</v>
      </c>
      <c r="B536">
        <v>1</v>
      </c>
      <c r="C536" t="s">
        <v>16</v>
      </c>
      <c r="D536" s="2">
        <v>0.45416666666666666</v>
      </c>
      <c r="E536">
        <v>18174.82</v>
      </c>
      <c r="F536" s="2">
        <v>0.45902777777777776</v>
      </c>
      <c r="G536">
        <v>18162.099999999999</v>
      </c>
      <c r="H536">
        <v>18162.099999999999</v>
      </c>
      <c r="I536">
        <v>18206.63</v>
      </c>
      <c r="J536" t="s">
        <v>15</v>
      </c>
      <c r="K536">
        <v>-12.72</v>
      </c>
      <c r="L536" s="9">
        <v>-1</v>
      </c>
      <c r="M536">
        <v>0</v>
      </c>
      <c r="N536">
        <v>2</v>
      </c>
    </row>
    <row r="537" spans="1:14" x14ac:dyDescent="0.2">
      <c r="A537" s="1">
        <v>45391</v>
      </c>
      <c r="B537">
        <v>2</v>
      </c>
      <c r="C537" t="s">
        <v>13</v>
      </c>
      <c r="D537" s="2">
        <v>0.42291666666666666</v>
      </c>
      <c r="E537">
        <v>18151.62</v>
      </c>
      <c r="F537" s="2">
        <v>0.42569444444444443</v>
      </c>
      <c r="G537">
        <v>18164.330000000002</v>
      </c>
      <c r="H537">
        <v>18164.330000000002</v>
      </c>
      <c r="I537">
        <v>18119.86</v>
      </c>
      <c r="J537" t="s">
        <v>15</v>
      </c>
      <c r="K537">
        <v>-12.71</v>
      </c>
      <c r="L537" s="9">
        <v>-1</v>
      </c>
      <c r="M537">
        <v>0</v>
      </c>
      <c r="N537">
        <v>3</v>
      </c>
    </row>
    <row r="538" spans="1:14" x14ac:dyDescent="0.2">
      <c r="A538" s="1">
        <v>45391</v>
      </c>
      <c r="B538">
        <v>2</v>
      </c>
      <c r="C538" t="s">
        <v>13</v>
      </c>
      <c r="D538" s="2">
        <v>0.43958333333333333</v>
      </c>
      <c r="E538">
        <v>18070.87</v>
      </c>
      <c r="F538" s="2">
        <v>0.44166666666666665</v>
      </c>
      <c r="G538">
        <v>18039.240000000002</v>
      </c>
      <c r="H538">
        <v>18083.52</v>
      </c>
      <c r="I538">
        <v>18039.240000000002</v>
      </c>
      <c r="J538" t="s">
        <v>14</v>
      </c>
      <c r="K538">
        <v>31.62</v>
      </c>
      <c r="L538" s="9">
        <v>2.5</v>
      </c>
      <c r="M538">
        <v>1</v>
      </c>
      <c r="N538">
        <v>0</v>
      </c>
    </row>
    <row r="539" spans="1:14" x14ac:dyDescent="0.2">
      <c r="A539" s="1">
        <v>45392</v>
      </c>
      <c r="B539">
        <v>3</v>
      </c>
      <c r="C539" t="s">
        <v>16</v>
      </c>
      <c r="D539" s="2">
        <v>0.40069444444444446</v>
      </c>
      <c r="E539">
        <v>17969.990000000002</v>
      </c>
      <c r="F539" s="2">
        <v>0.40555555555555556</v>
      </c>
      <c r="G539">
        <v>18001.439999999999</v>
      </c>
      <c r="H539">
        <v>17957.41</v>
      </c>
      <c r="I539">
        <v>18001.439999999999</v>
      </c>
      <c r="J539" t="s">
        <v>14</v>
      </c>
      <c r="K539">
        <v>31.45</v>
      </c>
      <c r="L539" s="9">
        <v>2.5</v>
      </c>
      <c r="M539">
        <v>1</v>
      </c>
      <c r="N539">
        <v>2</v>
      </c>
    </row>
    <row r="540" spans="1:14" x14ac:dyDescent="0.2">
      <c r="A540" s="1">
        <v>45392</v>
      </c>
      <c r="B540">
        <v>3</v>
      </c>
      <c r="C540" t="s">
        <v>16</v>
      </c>
      <c r="D540" s="2">
        <v>0.4152777777777778</v>
      </c>
      <c r="E540">
        <v>18007.84</v>
      </c>
      <c r="F540" s="2">
        <v>0.41597222222222224</v>
      </c>
      <c r="G540">
        <v>17995.240000000002</v>
      </c>
      <c r="H540">
        <v>17995.240000000002</v>
      </c>
      <c r="I540">
        <v>18039.36</v>
      </c>
      <c r="J540" t="s">
        <v>15</v>
      </c>
      <c r="K540">
        <v>-12.61</v>
      </c>
      <c r="L540" s="9">
        <v>-1</v>
      </c>
      <c r="M540">
        <v>0</v>
      </c>
      <c r="N540">
        <v>0</v>
      </c>
    </row>
    <row r="541" spans="1:14" x14ac:dyDescent="0.2">
      <c r="A541" s="1">
        <v>45392</v>
      </c>
      <c r="B541">
        <v>3</v>
      </c>
      <c r="C541" t="s">
        <v>16</v>
      </c>
      <c r="D541" s="2">
        <v>0.44583333333333336</v>
      </c>
      <c r="E541">
        <v>18032.349999999999</v>
      </c>
      <c r="F541" s="2">
        <v>0.44722222222222224</v>
      </c>
      <c r="G541">
        <v>18019.72</v>
      </c>
      <c r="H541">
        <v>18019.72</v>
      </c>
      <c r="I541">
        <v>18063.900000000001</v>
      </c>
      <c r="J541" t="s">
        <v>15</v>
      </c>
      <c r="K541">
        <v>-12.62</v>
      </c>
      <c r="L541" s="9">
        <v>-1</v>
      </c>
      <c r="M541">
        <v>0</v>
      </c>
      <c r="N541">
        <v>2</v>
      </c>
    </row>
    <row r="542" spans="1:14" x14ac:dyDescent="0.2">
      <c r="A542" s="1">
        <v>45393</v>
      </c>
      <c r="B542">
        <v>4</v>
      </c>
      <c r="C542" t="s">
        <v>13</v>
      </c>
      <c r="D542" s="2">
        <v>0.42638888888888887</v>
      </c>
      <c r="E542">
        <v>18040.11</v>
      </c>
      <c r="F542" s="2">
        <v>0.42708333333333331</v>
      </c>
      <c r="G542">
        <v>18008.54</v>
      </c>
      <c r="H542">
        <v>18052.740000000002</v>
      </c>
      <c r="I542">
        <v>18008.54</v>
      </c>
      <c r="J542" t="s">
        <v>14</v>
      </c>
      <c r="K542">
        <v>31.57</v>
      </c>
      <c r="L542" s="9">
        <v>2.5</v>
      </c>
      <c r="M542">
        <v>1</v>
      </c>
      <c r="N542">
        <v>0</v>
      </c>
    </row>
    <row r="543" spans="1:14" x14ac:dyDescent="0.2">
      <c r="A543" s="1">
        <v>45393</v>
      </c>
      <c r="B543">
        <v>4</v>
      </c>
      <c r="C543" t="s">
        <v>16</v>
      </c>
      <c r="D543" s="2">
        <v>0.44583333333333336</v>
      </c>
      <c r="E543">
        <v>18062.849999999999</v>
      </c>
      <c r="F543" s="2">
        <v>0.46944444444444444</v>
      </c>
      <c r="G543">
        <v>18094.46</v>
      </c>
      <c r="H543">
        <v>18050.21</v>
      </c>
      <c r="I543">
        <v>18094.46</v>
      </c>
      <c r="J543" t="s">
        <v>14</v>
      </c>
      <c r="K543">
        <v>31.61</v>
      </c>
      <c r="L543" s="9">
        <v>2.5</v>
      </c>
      <c r="M543">
        <v>1</v>
      </c>
      <c r="N543">
        <v>2</v>
      </c>
    </row>
    <row r="544" spans="1:14" x14ac:dyDescent="0.2">
      <c r="A544" s="1">
        <v>45394</v>
      </c>
      <c r="B544">
        <v>5</v>
      </c>
      <c r="C544" t="s">
        <v>16</v>
      </c>
      <c r="D544" s="2">
        <v>0.40902777777777777</v>
      </c>
      <c r="E544">
        <v>18142.330000000002</v>
      </c>
      <c r="F544" s="2">
        <v>0.41666666666666669</v>
      </c>
      <c r="G544">
        <v>18129.63</v>
      </c>
      <c r="H544">
        <v>18129.63</v>
      </c>
      <c r="I544">
        <v>18174.07</v>
      </c>
      <c r="J544" t="s">
        <v>15</v>
      </c>
      <c r="K544">
        <v>-12.7</v>
      </c>
      <c r="L544" s="9">
        <v>-1</v>
      </c>
      <c r="M544">
        <v>0</v>
      </c>
      <c r="N544">
        <v>0</v>
      </c>
    </row>
    <row r="545" spans="1:14" x14ac:dyDescent="0.2">
      <c r="A545" s="1">
        <v>45394</v>
      </c>
      <c r="B545">
        <v>5</v>
      </c>
      <c r="C545" t="s">
        <v>13</v>
      </c>
      <c r="D545" s="2">
        <v>0.4465277777777778</v>
      </c>
      <c r="E545">
        <v>18058.39</v>
      </c>
      <c r="F545" s="2">
        <v>0.45763888888888887</v>
      </c>
      <c r="G545">
        <v>18026.79</v>
      </c>
      <c r="H545">
        <v>18071.04</v>
      </c>
      <c r="I545">
        <v>18026.79</v>
      </c>
      <c r="J545" t="s">
        <v>14</v>
      </c>
      <c r="K545">
        <v>31.6</v>
      </c>
      <c r="L545" s="9">
        <v>2.5</v>
      </c>
      <c r="M545">
        <v>1</v>
      </c>
      <c r="N545">
        <v>0</v>
      </c>
    </row>
    <row r="546" spans="1:14" x14ac:dyDescent="0.2">
      <c r="A546" s="1">
        <v>45397</v>
      </c>
      <c r="B546">
        <v>1</v>
      </c>
      <c r="C546" t="s">
        <v>13</v>
      </c>
      <c r="D546" s="2">
        <v>0.40069444444444446</v>
      </c>
      <c r="E546">
        <v>18105.509999999998</v>
      </c>
      <c r="F546" s="2">
        <v>0.40208333333333335</v>
      </c>
      <c r="G546">
        <v>18118.18</v>
      </c>
      <c r="H546">
        <v>18118.18</v>
      </c>
      <c r="I546">
        <v>18073.830000000002</v>
      </c>
      <c r="J546" t="s">
        <v>15</v>
      </c>
      <c r="K546">
        <v>-12.67</v>
      </c>
      <c r="L546" s="9">
        <v>-1</v>
      </c>
      <c r="M546">
        <v>0</v>
      </c>
      <c r="N546">
        <v>0</v>
      </c>
    </row>
    <row r="547" spans="1:14" x14ac:dyDescent="0.2">
      <c r="A547" s="1">
        <v>45397</v>
      </c>
      <c r="B547">
        <v>1</v>
      </c>
      <c r="C547" t="s">
        <v>13</v>
      </c>
      <c r="D547" s="2">
        <v>0.42569444444444443</v>
      </c>
      <c r="E547">
        <v>18057.400000000001</v>
      </c>
      <c r="F547" s="2">
        <v>0.42708333333333331</v>
      </c>
      <c r="G547">
        <v>18070.04</v>
      </c>
      <c r="H547">
        <v>18070.04</v>
      </c>
      <c r="I547">
        <v>18025.8</v>
      </c>
      <c r="J547" t="s">
        <v>15</v>
      </c>
      <c r="K547">
        <v>-12.64</v>
      </c>
      <c r="L547" s="9">
        <v>-1</v>
      </c>
      <c r="M547">
        <v>0</v>
      </c>
      <c r="N547">
        <v>2</v>
      </c>
    </row>
    <row r="548" spans="1:14" x14ac:dyDescent="0.2">
      <c r="A548" s="1">
        <v>45398</v>
      </c>
      <c r="B548">
        <v>2</v>
      </c>
      <c r="C548" t="s">
        <v>13</v>
      </c>
      <c r="D548" s="2">
        <v>0.40833333333333333</v>
      </c>
      <c r="E548">
        <v>17675.22</v>
      </c>
      <c r="F548" s="2">
        <v>0.40902777777777777</v>
      </c>
      <c r="G548">
        <v>17687.59</v>
      </c>
      <c r="H548">
        <v>17687.59</v>
      </c>
      <c r="I548">
        <v>17644.29</v>
      </c>
      <c r="J548" t="s">
        <v>15</v>
      </c>
      <c r="K548">
        <v>-12.37</v>
      </c>
      <c r="L548" s="9">
        <v>-1</v>
      </c>
      <c r="M548">
        <v>0</v>
      </c>
      <c r="N548">
        <v>3</v>
      </c>
    </row>
    <row r="549" spans="1:14" x14ac:dyDescent="0.2">
      <c r="A549" s="1">
        <v>45398</v>
      </c>
      <c r="B549">
        <v>2</v>
      </c>
      <c r="C549" t="s">
        <v>16</v>
      </c>
      <c r="D549" s="2">
        <v>0.42499999999999999</v>
      </c>
      <c r="E549">
        <v>17727.830000000002</v>
      </c>
      <c r="F549" s="2">
        <v>0.42708333333333331</v>
      </c>
      <c r="G549">
        <v>17758.849999999999</v>
      </c>
      <c r="H549">
        <v>17715.419999999998</v>
      </c>
      <c r="I549">
        <v>17758.849999999999</v>
      </c>
      <c r="J549" t="s">
        <v>14</v>
      </c>
      <c r="K549">
        <v>31.02</v>
      </c>
      <c r="L549" s="9">
        <v>2.5</v>
      </c>
      <c r="M549">
        <v>1</v>
      </c>
      <c r="N549">
        <v>0</v>
      </c>
    </row>
    <row r="550" spans="1:14" x14ac:dyDescent="0.2">
      <c r="A550" s="1">
        <v>45398</v>
      </c>
      <c r="B550">
        <v>2</v>
      </c>
      <c r="C550" t="s">
        <v>13</v>
      </c>
      <c r="D550" s="2">
        <v>0.44027777777777777</v>
      </c>
      <c r="E550">
        <v>17702.84</v>
      </c>
      <c r="F550" s="2">
        <v>0.44236111111111109</v>
      </c>
      <c r="G550">
        <v>17671.86</v>
      </c>
      <c r="H550">
        <v>17715.23</v>
      </c>
      <c r="I550">
        <v>17671.86</v>
      </c>
      <c r="J550" t="s">
        <v>14</v>
      </c>
      <c r="K550">
        <v>30.98</v>
      </c>
      <c r="L550" s="9">
        <v>2.5</v>
      </c>
      <c r="M550">
        <v>1</v>
      </c>
      <c r="N550">
        <v>2</v>
      </c>
    </row>
    <row r="551" spans="1:14" x14ac:dyDescent="0.2">
      <c r="A551" s="1">
        <v>45399</v>
      </c>
      <c r="B551">
        <v>3</v>
      </c>
      <c r="C551" t="s">
        <v>13</v>
      </c>
      <c r="D551" s="2">
        <v>0.41180555555555554</v>
      </c>
      <c r="E551">
        <v>17737.38</v>
      </c>
      <c r="F551" s="2">
        <v>0.41805555555555557</v>
      </c>
      <c r="G551">
        <v>17706.34</v>
      </c>
      <c r="H551">
        <v>17749.8</v>
      </c>
      <c r="I551">
        <v>17706.34</v>
      </c>
      <c r="J551" t="s">
        <v>14</v>
      </c>
      <c r="K551">
        <v>31.04</v>
      </c>
      <c r="L551" s="9">
        <v>2.5</v>
      </c>
      <c r="M551">
        <v>1</v>
      </c>
      <c r="N551">
        <v>3</v>
      </c>
    </row>
    <row r="552" spans="1:14" x14ac:dyDescent="0.2">
      <c r="A552" s="1">
        <v>45400</v>
      </c>
      <c r="B552">
        <v>4</v>
      </c>
      <c r="C552" t="s">
        <v>13</v>
      </c>
      <c r="D552" s="2">
        <v>0.39583333333333331</v>
      </c>
      <c r="E552">
        <v>17522.3</v>
      </c>
      <c r="F552" s="2">
        <v>0.39652777777777776</v>
      </c>
      <c r="G552">
        <v>17491.64</v>
      </c>
      <c r="H552">
        <v>17534.57</v>
      </c>
      <c r="I552">
        <v>17491.64</v>
      </c>
      <c r="J552" t="s">
        <v>14</v>
      </c>
      <c r="K552">
        <v>30.66</v>
      </c>
      <c r="L552" s="9">
        <v>2.5</v>
      </c>
      <c r="M552">
        <v>1</v>
      </c>
      <c r="N552">
        <v>4</v>
      </c>
    </row>
    <row r="553" spans="1:14" x14ac:dyDescent="0.2">
      <c r="A553" s="1">
        <v>45400</v>
      </c>
      <c r="B553">
        <v>4</v>
      </c>
      <c r="C553" t="s">
        <v>16</v>
      </c>
      <c r="D553" s="2">
        <v>0.44305555555555554</v>
      </c>
      <c r="E553">
        <v>17538.12</v>
      </c>
      <c r="F553" s="2">
        <v>0.45555555555555555</v>
      </c>
      <c r="G553">
        <v>17568.810000000001</v>
      </c>
      <c r="H553">
        <v>17525.84</v>
      </c>
      <c r="I553">
        <v>17568.810000000001</v>
      </c>
      <c r="J553" t="s">
        <v>14</v>
      </c>
      <c r="K553">
        <v>30.69</v>
      </c>
      <c r="L553" s="9">
        <v>2.5</v>
      </c>
      <c r="M553">
        <v>1</v>
      </c>
      <c r="N553">
        <v>5</v>
      </c>
    </row>
    <row r="554" spans="1:14" x14ac:dyDescent="0.2">
      <c r="A554" s="1">
        <v>45401</v>
      </c>
      <c r="B554">
        <v>5</v>
      </c>
      <c r="C554" t="s">
        <v>13</v>
      </c>
      <c r="D554" s="2">
        <v>0.40277777777777779</v>
      </c>
      <c r="E554">
        <v>17300</v>
      </c>
      <c r="F554" s="2">
        <v>0.40347222222222223</v>
      </c>
      <c r="G554">
        <v>17312.11</v>
      </c>
      <c r="H554">
        <v>17312.11</v>
      </c>
      <c r="I554">
        <v>17269.72</v>
      </c>
      <c r="J554" t="s">
        <v>15</v>
      </c>
      <c r="K554">
        <v>-12.11</v>
      </c>
      <c r="L554" s="9">
        <v>-1</v>
      </c>
      <c r="M554">
        <v>0</v>
      </c>
      <c r="N554">
        <v>0</v>
      </c>
    </row>
    <row r="555" spans="1:14" x14ac:dyDescent="0.2">
      <c r="A555" s="1">
        <v>45401</v>
      </c>
      <c r="B555">
        <v>5</v>
      </c>
      <c r="C555" t="s">
        <v>13</v>
      </c>
      <c r="D555" s="2">
        <v>0.41944444444444445</v>
      </c>
      <c r="E555">
        <v>17306.849999999999</v>
      </c>
      <c r="F555" s="2">
        <v>0.4236111111111111</v>
      </c>
      <c r="G555">
        <v>17276.560000000001</v>
      </c>
      <c r="H555">
        <v>17318.96</v>
      </c>
      <c r="I555">
        <v>17276.560000000001</v>
      </c>
      <c r="J555" t="s">
        <v>14</v>
      </c>
      <c r="K555">
        <v>30.29</v>
      </c>
      <c r="L555" s="9">
        <v>2.5</v>
      </c>
      <c r="M555">
        <v>1</v>
      </c>
      <c r="N555">
        <v>0</v>
      </c>
    </row>
    <row r="556" spans="1:14" x14ac:dyDescent="0.2">
      <c r="A556" s="1">
        <v>45404</v>
      </c>
      <c r="B556">
        <v>1</v>
      </c>
      <c r="C556" t="s">
        <v>13</v>
      </c>
      <c r="D556" s="2">
        <v>0.39791666666666664</v>
      </c>
      <c r="E556">
        <v>17145.509999999998</v>
      </c>
      <c r="F556" s="2">
        <v>0.39861111111111114</v>
      </c>
      <c r="G556">
        <v>17157.52</v>
      </c>
      <c r="H556">
        <v>17157.52</v>
      </c>
      <c r="I556">
        <v>17115.509999999998</v>
      </c>
      <c r="J556" t="s">
        <v>15</v>
      </c>
      <c r="K556">
        <v>-12</v>
      </c>
      <c r="L556" s="9">
        <v>-1</v>
      </c>
      <c r="M556">
        <v>0</v>
      </c>
      <c r="N556">
        <v>0</v>
      </c>
    </row>
    <row r="557" spans="1:14" x14ac:dyDescent="0.2">
      <c r="A557" s="1">
        <v>45404</v>
      </c>
      <c r="B557">
        <v>1</v>
      </c>
      <c r="C557" t="s">
        <v>13</v>
      </c>
      <c r="D557" s="2">
        <v>0.4284722222222222</v>
      </c>
      <c r="E557">
        <v>17128.080000000002</v>
      </c>
      <c r="F557" s="2">
        <v>0.43125000000000002</v>
      </c>
      <c r="G557">
        <v>17098.11</v>
      </c>
      <c r="H557">
        <v>17140.07</v>
      </c>
      <c r="I557">
        <v>17098.11</v>
      </c>
      <c r="J557" t="s">
        <v>14</v>
      </c>
      <c r="K557">
        <v>29.97</v>
      </c>
      <c r="L557" s="9">
        <v>2.5</v>
      </c>
      <c r="M557">
        <v>1</v>
      </c>
      <c r="N557">
        <v>0</v>
      </c>
    </row>
    <row r="558" spans="1:14" x14ac:dyDescent="0.2">
      <c r="A558" s="1">
        <v>45404</v>
      </c>
      <c r="B558">
        <v>1</v>
      </c>
      <c r="C558" t="s">
        <v>13</v>
      </c>
      <c r="D558" s="2">
        <v>0.45555555555555555</v>
      </c>
      <c r="E558">
        <v>17037.099999999999</v>
      </c>
      <c r="F558" s="2">
        <v>0.46875</v>
      </c>
      <c r="G558">
        <v>17007.28</v>
      </c>
      <c r="H558">
        <v>17049.02</v>
      </c>
      <c r="I558">
        <v>17007.28</v>
      </c>
      <c r="J558" t="s">
        <v>14</v>
      </c>
      <c r="K558">
        <v>29.81</v>
      </c>
      <c r="L558" s="9">
        <v>2.5</v>
      </c>
      <c r="M558">
        <v>1</v>
      </c>
      <c r="N558">
        <v>2</v>
      </c>
    </row>
    <row r="559" spans="1:14" x14ac:dyDescent="0.2">
      <c r="A559" s="1">
        <v>45406</v>
      </c>
      <c r="B559">
        <v>3</v>
      </c>
      <c r="C559" t="s">
        <v>16</v>
      </c>
      <c r="D559" s="2">
        <v>0.40277777777777779</v>
      </c>
      <c r="E559">
        <v>17620.2</v>
      </c>
      <c r="F559" s="2">
        <v>0.40902777777777777</v>
      </c>
      <c r="G559">
        <v>17651.03</v>
      </c>
      <c r="H559">
        <v>17607.87</v>
      </c>
      <c r="I559">
        <v>17651.03</v>
      </c>
      <c r="J559" t="s">
        <v>14</v>
      </c>
      <c r="K559">
        <v>30.84</v>
      </c>
      <c r="L559" s="9">
        <v>2.5</v>
      </c>
      <c r="M559">
        <v>1</v>
      </c>
      <c r="N559">
        <v>3</v>
      </c>
    </row>
    <row r="560" spans="1:14" x14ac:dyDescent="0.2">
      <c r="A560" s="1">
        <v>45406</v>
      </c>
      <c r="B560">
        <v>3</v>
      </c>
      <c r="C560" t="s">
        <v>13</v>
      </c>
      <c r="D560" s="2">
        <v>0.43125000000000002</v>
      </c>
      <c r="E560">
        <v>17588.830000000002</v>
      </c>
      <c r="F560" s="2">
        <v>0.43263888888888891</v>
      </c>
      <c r="G560">
        <v>17601.14</v>
      </c>
      <c r="H560">
        <v>17601.14</v>
      </c>
      <c r="I560">
        <v>17558.05</v>
      </c>
      <c r="J560" t="s">
        <v>15</v>
      </c>
      <c r="K560">
        <v>-12.31</v>
      </c>
      <c r="L560" s="9">
        <v>-1</v>
      </c>
      <c r="M560">
        <v>0</v>
      </c>
      <c r="N560">
        <v>0</v>
      </c>
    </row>
    <row r="561" spans="1:14" x14ac:dyDescent="0.2">
      <c r="A561" s="1">
        <v>45407</v>
      </c>
      <c r="B561">
        <v>4</v>
      </c>
      <c r="C561" t="s">
        <v>16</v>
      </c>
      <c r="D561" s="2">
        <v>0.42777777777777776</v>
      </c>
      <c r="E561">
        <v>17277.490000000002</v>
      </c>
      <c r="F561" s="2">
        <v>0.42916666666666664</v>
      </c>
      <c r="G561">
        <v>17307.73</v>
      </c>
      <c r="H561">
        <v>17265.400000000001</v>
      </c>
      <c r="I561">
        <v>17307.73</v>
      </c>
      <c r="J561" t="s">
        <v>14</v>
      </c>
      <c r="K561">
        <v>30.24</v>
      </c>
      <c r="L561" s="9">
        <v>2.5</v>
      </c>
      <c r="M561">
        <v>1</v>
      </c>
      <c r="N561">
        <v>0</v>
      </c>
    </row>
    <row r="562" spans="1:14" x14ac:dyDescent="0.2">
      <c r="A562" s="1">
        <v>45407</v>
      </c>
      <c r="B562">
        <v>4</v>
      </c>
      <c r="C562" t="s">
        <v>13</v>
      </c>
      <c r="D562" s="2">
        <v>0.45208333333333334</v>
      </c>
      <c r="E562">
        <v>17246.8</v>
      </c>
      <c r="F562" s="2">
        <v>0.4548611111111111</v>
      </c>
      <c r="G562">
        <v>17216.62</v>
      </c>
      <c r="H562">
        <v>17258.87</v>
      </c>
      <c r="I562">
        <v>17216.62</v>
      </c>
      <c r="J562" t="s">
        <v>14</v>
      </c>
      <c r="K562">
        <v>30.18</v>
      </c>
      <c r="L562" s="9">
        <v>2.5</v>
      </c>
      <c r="M562">
        <v>1</v>
      </c>
      <c r="N562">
        <v>2</v>
      </c>
    </row>
    <row r="563" spans="1:14" x14ac:dyDescent="0.2">
      <c r="A563" s="1">
        <v>45411</v>
      </c>
      <c r="B563">
        <v>1</v>
      </c>
      <c r="C563" t="s">
        <v>13</v>
      </c>
      <c r="D563" s="2">
        <v>0.41319444444444442</v>
      </c>
      <c r="E563">
        <v>17714.09</v>
      </c>
      <c r="F563" s="2">
        <v>0.41458333333333336</v>
      </c>
      <c r="G563">
        <v>17726.490000000002</v>
      </c>
      <c r="H563">
        <v>17726.490000000002</v>
      </c>
      <c r="I563">
        <v>17683.09</v>
      </c>
      <c r="J563" t="s">
        <v>15</v>
      </c>
      <c r="K563">
        <v>-12.4</v>
      </c>
      <c r="L563" s="9">
        <v>-1</v>
      </c>
      <c r="M563">
        <v>0</v>
      </c>
      <c r="N563">
        <v>0</v>
      </c>
    </row>
    <row r="564" spans="1:14" x14ac:dyDescent="0.2">
      <c r="A564" s="1">
        <v>45411</v>
      </c>
      <c r="B564">
        <v>1</v>
      </c>
      <c r="C564" t="s">
        <v>16</v>
      </c>
      <c r="D564" s="2">
        <v>0.42638888888888887</v>
      </c>
      <c r="E564">
        <v>17764.87</v>
      </c>
      <c r="F564" s="2">
        <v>0.43333333333333335</v>
      </c>
      <c r="G564">
        <v>17752.43</v>
      </c>
      <c r="H564">
        <v>17752.43</v>
      </c>
      <c r="I564">
        <v>17795.96</v>
      </c>
      <c r="J564" t="s">
        <v>15</v>
      </c>
      <c r="K564">
        <v>-12.44</v>
      </c>
      <c r="L564" s="9">
        <v>-1</v>
      </c>
      <c r="M564">
        <v>0</v>
      </c>
      <c r="N564">
        <v>2</v>
      </c>
    </row>
    <row r="565" spans="1:14" x14ac:dyDescent="0.2">
      <c r="A565" s="1">
        <v>45414</v>
      </c>
      <c r="B565">
        <v>4</v>
      </c>
      <c r="C565" t="s">
        <v>13</v>
      </c>
      <c r="D565" s="2">
        <v>0.41249999999999998</v>
      </c>
      <c r="E565">
        <v>17397.72</v>
      </c>
      <c r="F565" s="2">
        <v>0.41388888888888886</v>
      </c>
      <c r="G565">
        <v>17409.89</v>
      </c>
      <c r="H565">
        <v>17409.89</v>
      </c>
      <c r="I565">
        <v>17367.27</v>
      </c>
      <c r="J565" t="s">
        <v>15</v>
      </c>
      <c r="K565">
        <v>-12.18</v>
      </c>
      <c r="L565" s="9">
        <v>-1</v>
      </c>
      <c r="M565">
        <v>0</v>
      </c>
      <c r="N565">
        <v>3</v>
      </c>
    </row>
    <row r="566" spans="1:14" x14ac:dyDescent="0.2">
      <c r="A566" s="1">
        <v>45414</v>
      </c>
      <c r="B566">
        <v>4</v>
      </c>
      <c r="C566" t="s">
        <v>16</v>
      </c>
      <c r="D566" s="2">
        <v>0.44097222222222221</v>
      </c>
      <c r="E566">
        <v>17403.68</v>
      </c>
      <c r="F566" s="2">
        <v>0.44166666666666665</v>
      </c>
      <c r="G566">
        <v>17391.5</v>
      </c>
      <c r="H566">
        <v>17391.5</v>
      </c>
      <c r="I566">
        <v>17434.14</v>
      </c>
      <c r="J566" t="s">
        <v>15</v>
      </c>
      <c r="K566">
        <v>-12.18</v>
      </c>
      <c r="L566" s="9">
        <v>-1</v>
      </c>
      <c r="M566">
        <v>0</v>
      </c>
      <c r="N566">
        <v>4</v>
      </c>
    </row>
    <row r="567" spans="1:14" x14ac:dyDescent="0.2">
      <c r="A567" s="1">
        <v>45415</v>
      </c>
      <c r="B567">
        <v>5</v>
      </c>
      <c r="C567" t="s">
        <v>16</v>
      </c>
      <c r="D567" s="2">
        <v>0.40902777777777777</v>
      </c>
      <c r="E567">
        <v>17878.89</v>
      </c>
      <c r="F567" s="2">
        <v>0.41666666666666669</v>
      </c>
      <c r="G567">
        <v>17866.37</v>
      </c>
      <c r="H567">
        <v>17866.37</v>
      </c>
      <c r="I567">
        <v>17910.169999999998</v>
      </c>
      <c r="J567" t="s">
        <v>17</v>
      </c>
      <c r="K567">
        <v>-12.52</v>
      </c>
      <c r="L567" s="9">
        <v>-1</v>
      </c>
      <c r="M567">
        <v>0</v>
      </c>
      <c r="N567">
        <v>5</v>
      </c>
    </row>
    <row r="568" spans="1:14" x14ac:dyDescent="0.2">
      <c r="A568" s="1">
        <v>45415</v>
      </c>
      <c r="B568">
        <v>5</v>
      </c>
      <c r="C568" t="s">
        <v>13</v>
      </c>
      <c r="D568" s="2">
        <v>0.42708333333333331</v>
      </c>
      <c r="E568">
        <v>17821.169999999998</v>
      </c>
      <c r="F568" s="2">
        <v>0.4284722222222222</v>
      </c>
      <c r="G568">
        <v>17833.650000000001</v>
      </c>
      <c r="H568">
        <v>17833.650000000001</v>
      </c>
      <c r="I568">
        <v>17789.990000000002</v>
      </c>
      <c r="J568" t="s">
        <v>15</v>
      </c>
      <c r="K568">
        <v>-12.47</v>
      </c>
      <c r="L568" s="9">
        <v>-1</v>
      </c>
      <c r="M568">
        <v>0</v>
      </c>
      <c r="N568">
        <v>6</v>
      </c>
    </row>
    <row r="569" spans="1:14" x14ac:dyDescent="0.2">
      <c r="A569" s="1">
        <v>45415</v>
      </c>
      <c r="B569">
        <v>5</v>
      </c>
      <c r="C569" t="s">
        <v>16</v>
      </c>
      <c r="D569" s="2">
        <v>0.45</v>
      </c>
      <c r="E569">
        <v>17867.77</v>
      </c>
      <c r="F569" s="2">
        <v>0.4513888888888889</v>
      </c>
      <c r="G569">
        <v>17855.259999999998</v>
      </c>
      <c r="H569">
        <v>17855.259999999998</v>
      </c>
      <c r="I569">
        <v>17899.03</v>
      </c>
      <c r="J569" t="s">
        <v>15</v>
      </c>
      <c r="K569">
        <v>-12.51</v>
      </c>
      <c r="L569" s="9">
        <v>-1</v>
      </c>
      <c r="M569">
        <v>0</v>
      </c>
      <c r="N569">
        <v>7</v>
      </c>
    </row>
    <row r="570" spans="1:14" x14ac:dyDescent="0.2">
      <c r="A570" s="1">
        <v>45418</v>
      </c>
      <c r="B570">
        <v>1</v>
      </c>
      <c r="C570" t="s">
        <v>16</v>
      </c>
      <c r="D570" s="2">
        <v>0.41180555555555554</v>
      </c>
      <c r="E570">
        <v>17989.150000000001</v>
      </c>
      <c r="F570" s="2">
        <v>0.42916666666666664</v>
      </c>
      <c r="G570">
        <v>17976.55</v>
      </c>
      <c r="H570">
        <v>17976.55</v>
      </c>
      <c r="I570">
        <v>18020.63</v>
      </c>
      <c r="J570" t="s">
        <v>15</v>
      </c>
      <c r="K570">
        <v>-12.59</v>
      </c>
      <c r="L570" s="9">
        <v>-1</v>
      </c>
      <c r="M570">
        <v>0</v>
      </c>
      <c r="N570">
        <v>8</v>
      </c>
    </row>
    <row r="571" spans="1:14" x14ac:dyDescent="0.2">
      <c r="A571" s="1">
        <v>45419</v>
      </c>
      <c r="B571">
        <v>2</v>
      </c>
      <c r="C571" t="s">
        <v>16</v>
      </c>
      <c r="D571" s="2">
        <v>0.39861111111111114</v>
      </c>
      <c r="E571">
        <v>18114.689999999999</v>
      </c>
      <c r="F571" s="2">
        <v>0.40277777777777779</v>
      </c>
      <c r="G571">
        <v>18102.009999999998</v>
      </c>
      <c r="H571">
        <v>18102.009999999998</v>
      </c>
      <c r="I571">
        <v>18146.39</v>
      </c>
      <c r="J571" t="s">
        <v>15</v>
      </c>
      <c r="K571">
        <v>-12.68</v>
      </c>
      <c r="L571" s="9">
        <v>-1</v>
      </c>
      <c r="M571">
        <v>0</v>
      </c>
      <c r="N571">
        <v>9</v>
      </c>
    </row>
    <row r="572" spans="1:14" x14ac:dyDescent="0.2">
      <c r="A572" s="1">
        <v>45419</v>
      </c>
      <c r="B572">
        <v>2</v>
      </c>
      <c r="C572" t="s">
        <v>13</v>
      </c>
      <c r="D572" s="2">
        <v>0.41736111111111113</v>
      </c>
      <c r="E572">
        <v>18087.830000000002</v>
      </c>
      <c r="F572" s="2">
        <v>0.42569444444444443</v>
      </c>
      <c r="G572">
        <v>18100.5</v>
      </c>
      <c r="H572">
        <v>18100.5</v>
      </c>
      <c r="I572">
        <v>18056.18</v>
      </c>
      <c r="J572" t="s">
        <v>15</v>
      </c>
      <c r="K572">
        <v>-12.66</v>
      </c>
      <c r="L572" s="9">
        <v>-1</v>
      </c>
      <c r="M572">
        <v>0</v>
      </c>
      <c r="N572">
        <v>10</v>
      </c>
    </row>
    <row r="573" spans="1:14" x14ac:dyDescent="0.2">
      <c r="A573" s="1">
        <v>45420</v>
      </c>
      <c r="B573">
        <v>3</v>
      </c>
      <c r="C573" t="s">
        <v>16</v>
      </c>
      <c r="D573" s="2">
        <v>0.40347222222222223</v>
      </c>
      <c r="E573">
        <v>18009.77</v>
      </c>
      <c r="F573" s="2">
        <v>0.40763888888888888</v>
      </c>
      <c r="G573">
        <v>18041.28</v>
      </c>
      <c r="H573">
        <v>17997.16</v>
      </c>
      <c r="I573">
        <v>18041.28</v>
      </c>
      <c r="J573" t="s">
        <v>14</v>
      </c>
      <c r="K573">
        <v>31.52</v>
      </c>
      <c r="L573" s="9">
        <v>2.5</v>
      </c>
      <c r="M573">
        <v>1</v>
      </c>
      <c r="N573">
        <v>0</v>
      </c>
    </row>
    <row r="574" spans="1:14" x14ac:dyDescent="0.2">
      <c r="A574" s="1">
        <v>45420</v>
      </c>
      <c r="B574">
        <v>3</v>
      </c>
      <c r="C574" t="s">
        <v>16</v>
      </c>
      <c r="D574" s="2">
        <v>0.43541666666666667</v>
      </c>
      <c r="E574">
        <v>18090.62</v>
      </c>
      <c r="F574" s="2">
        <v>0.45</v>
      </c>
      <c r="G574">
        <v>18122.27</v>
      </c>
      <c r="H574">
        <v>18077.95</v>
      </c>
      <c r="I574">
        <v>18122.27</v>
      </c>
      <c r="J574" t="s">
        <v>14</v>
      </c>
      <c r="K574">
        <v>31.66</v>
      </c>
      <c r="L574" s="9">
        <v>2.5</v>
      </c>
      <c r="M574">
        <v>1</v>
      </c>
      <c r="N574">
        <v>2</v>
      </c>
    </row>
    <row r="575" spans="1:14" x14ac:dyDescent="0.2">
      <c r="A575" s="1">
        <v>45421</v>
      </c>
      <c r="B575">
        <v>4</v>
      </c>
      <c r="C575" t="s">
        <v>13</v>
      </c>
      <c r="D575" s="2">
        <v>0.40138888888888891</v>
      </c>
      <c r="E575">
        <v>18073.68</v>
      </c>
      <c r="F575" s="2">
        <v>0.40347222222222223</v>
      </c>
      <c r="G575">
        <v>18042.05</v>
      </c>
      <c r="H575">
        <v>18086.330000000002</v>
      </c>
      <c r="I575">
        <v>18042.05</v>
      </c>
      <c r="J575" t="s">
        <v>14</v>
      </c>
      <c r="K575">
        <v>31.63</v>
      </c>
      <c r="L575" s="9">
        <v>2.5</v>
      </c>
      <c r="M575">
        <v>1</v>
      </c>
      <c r="N575">
        <v>3</v>
      </c>
    </row>
    <row r="576" spans="1:14" x14ac:dyDescent="0.2">
      <c r="A576" s="1">
        <v>45421</v>
      </c>
      <c r="B576">
        <v>4</v>
      </c>
      <c r="C576" t="s">
        <v>16</v>
      </c>
      <c r="D576" s="2">
        <v>0.44097222222222221</v>
      </c>
      <c r="E576">
        <v>18076.189999999999</v>
      </c>
      <c r="F576" s="2">
        <v>0.44305555555555554</v>
      </c>
      <c r="G576">
        <v>18107.830000000002</v>
      </c>
      <c r="H576">
        <v>18063.54</v>
      </c>
      <c r="I576">
        <v>18107.830000000002</v>
      </c>
      <c r="J576" t="s">
        <v>14</v>
      </c>
      <c r="K576">
        <v>31.63</v>
      </c>
      <c r="L576" s="9">
        <v>2.5</v>
      </c>
      <c r="M576">
        <v>1</v>
      </c>
      <c r="N576">
        <v>4</v>
      </c>
    </row>
    <row r="577" spans="1:14" x14ac:dyDescent="0.2">
      <c r="A577" s="1">
        <v>45422</v>
      </c>
      <c r="B577">
        <v>5</v>
      </c>
      <c r="C577" t="s">
        <v>16</v>
      </c>
      <c r="D577" s="2">
        <v>0.4</v>
      </c>
      <c r="E577">
        <v>18200.86</v>
      </c>
      <c r="F577" s="2">
        <v>0.40416666666666667</v>
      </c>
      <c r="G577">
        <v>18232.71</v>
      </c>
      <c r="H577">
        <v>18188.12</v>
      </c>
      <c r="I577">
        <v>18232.71</v>
      </c>
      <c r="J577" t="s">
        <v>14</v>
      </c>
      <c r="K577">
        <v>31.85</v>
      </c>
      <c r="L577" s="9">
        <v>2.5</v>
      </c>
      <c r="M577">
        <v>1</v>
      </c>
      <c r="N577">
        <v>5</v>
      </c>
    </row>
    <row r="578" spans="1:14" x14ac:dyDescent="0.2">
      <c r="A578" s="1">
        <v>45422</v>
      </c>
      <c r="B578">
        <v>5</v>
      </c>
      <c r="C578" t="s">
        <v>13</v>
      </c>
      <c r="D578" s="2">
        <v>0.42638888888888887</v>
      </c>
      <c r="E578">
        <v>18178.59</v>
      </c>
      <c r="F578" s="2">
        <v>0.43055555555555558</v>
      </c>
      <c r="G578">
        <v>18146.77</v>
      </c>
      <c r="H578">
        <v>18191.310000000001</v>
      </c>
      <c r="I578">
        <v>18146.77</v>
      </c>
      <c r="J578" t="s">
        <v>14</v>
      </c>
      <c r="K578">
        <v>31.81</v>
      </c>
      <c r="L578" s="9">
        <v>2.5</v>
      </c>
      <c r="M578">
        <v>1</v>
      </c>
      <c r="N578">
        <v>6</v>
      </c>
    </row>
    <row r="579" spans="1:14" x14ac:dyDescent="0.2">
      <c r="A579" s="1">
        <v>45425</v>
      </c>
      <c r="B579">
        <v>1</v>
      </c>
      <c r="C579" t="s">
        <v>16</v>
      </c>
      <c r="D579" s="2">
        <v>0.39583333333333331</v>
      </c>
      <c r="E579">
        <v>18232.88</v>
      </c>
      <c r="F579" s="2">
        <v>0.39791666666666664</v>
      </c>
      <c r="G579">
        <v>18220.12</v>
      </c>
      <c r="H579">
        <v>18220.12</v>
      </c>
      <c r="I579">
        <v>18264.79</v>
      </c>
      <c r="J579" t="s">
        <v>15</v>
      </c>
      <c r="K579">
        <v>-12.76</v>
      </c>
      <c r="L579" s="9">
        <v>-1</v>
      </c>
      <c r="M579">
        <v>0</v>
      </c>
      <c r="N579">
        <v>0</v>
      </c>
    </row>
    <row r="580" spans="1:14" x14ac:dyDescent="0.2">
      <c r="A580" s="1">
        <v>45425</v>
      </c>
      <c r="B580">
        <v>1</v>
      </c>
      <c r="C580" t="s">
        <v>13</v>
      </c>
      <c r="D580" s="2">
        <v>0.40902777777777777</v>
      </c>
      <c r="E580">
        <v>18168.12</v>
      </c>
      <c r="F580" s="2">
        <v>0.41041666666666665</v>
      </c>
      <c r="G580">
        <v>18180.84</v>
      </c>
      <c r="H580">
        <v>18180.84</v>
      </c>
      <c r="I580">
        <v>18136.330000000002</v>
      </c>
      <c r="J580" t="s">
        <v>15</v>
      </c>
      <c r="K580">
        <v>-12.72</v>
      </c>
      <c r="L580" s="9">
        <v>-1</v>
      </c>
      <c r="M580">
        <v>0</v>
      </c>
      <c r="N580">
        <v>2</v>
      </c>
    </row>
    <row r="581" spans="1:14" x14ac:dyDescent="0.2">
      <c r="A581" s="1">
        <v>45425</v>
      </c>
      <c r="B581">
        <v>1</v>
      </c>
      <c r="C581" t="s">
        <v>16</v>
      </c>
      <c r="D581" s="2">
        <v>0.42986111111111114</v>
      </c>
      <c r="E581">
        <v>18201.02</v>
      </c>
      <c r="F581" s="2">
        <v>0.43819444444444444</v>
      </c>
      <c r="G581">
        <v>18188.28</v>
      </c>
      <c r="H581">
        <v>18188.28</v>
      </c>
      <c r="I581">
        <v>18232.87</v>
      </c>
      <c r="J581" t="s">
        <v>15</v>
      </c>
      <c r="K581">
        <v>-12.74</v>
      </c>
      <c r="L581" s="9">
        <v>-1</v>
      </c>
      <c r="M581">
        <v>0</v>
      </c>
      <c r="N581">
        <v>3</v>
      </c>
    </row>
    <row r="582" spans="1:14" x14ac:dyDescent="0.2">
      <c r="A582" s="1">
        <v>45426</v>
      </c>
      <c r="B582">
        <v>2</v>
      </c>
      <c r="C582" t="s">
        <v>16</v>
      </c>
      <c r="D582" s="2">
        <v>0.40277777777777779</v>
      </c>
      <c r="E582">
        <v>18199.650000000001</v>
      </c>
      <c r="F582" s="2">
        <v>0.40694444444444444</v>
      </c>
      <c r="G582">
        <v>18231.5</v>
      </c>
      <c r="H582">
        <v>18186.91</v>
      </c>
      <c r="I582">
        <v>18231.5</v>
      </c>
      <c r="J582" t="s">
        <v>14</v>
      </c>
      <c r="K582">
        <v>31.85</v>
      </c>
      <c r="L582" s="9">
        <v>2.5</v>
      </c>
      <c r="M582">
        <v>1</v>
      </c>
      <c r="N582">
        <v>0</v>
      </c>
    </row>
    <row r="583" spans="1:14" x14ac:dyDescent="0.2">
      <c r="A583" s="1">
        <v>45426</v>
      </c>
      <c r="B583">
        <v>2</v>
      </c>
      <c r="C583" t="s">
        <v>16</v>
      </c>
      <c r="D583" s="2">
        <v>0.43888888888888888</v>
      </c>
      <c r="E583">
        <v>18266.099999999999</v>
      </c>
      <c r="F583" s="2">
        <v>0.44097222222222221</v>
      </c>
      <c r="G583">
        <v>18253.310000000001</v>
      </c>
      <c r="H583">
        <v>18253.310000000001</v>
      </c>
      <c r="I583">
        <v>18298.060000000001</v>
      </c>
      <c r="J583" t="s">
        <v>15</v>
      </c>
      <c r="K583">
        <v>-12.79</v>
      </c>
      <c r="L583" s="9">
        <v>-1</v>
      </c>
      <c r="M583">
        <v>0</v>
      </c>
      <c r="N583">
        <v>0</v>
      </c>
    </row>
    <row r="584" spans="1:14" x14ac:dyDescent="0.2">
      <c r="A584" s="1">
        <v>45427</v>
      </c>
      <c r="B584">
        <v>3</v>
      </c>
      <c r="C584" t="s">
        <v>13</v>
      </c>
      <c r="D584" s="2">
        <v>0.41180555555555554</v>
      </c>
      <c r="E584">
        <v>18372.73</v>
      </c>
      <c r="F584" s="2">
        <v>0.41597222222222224</v>
      </c>
      <c r="G584">
        <v>18385.59</v>
      </c>
      <c r="H584">
        <v>18385.59</v>
      </c>
      <c r="I584">
        <v>18340.580000000002</v>
      </c>
      <c r="J584" t="s">
        <v>15</v>
      </c>
      <c r="K584">
        <v>-12.86</v>
      </c>
      <c r="L584" s="9">
        <v>-1</v>
      </c>
      <c r="M584">
        <v>0</v>
      </c>
      <c r="N584">
        <v>2</v>
      </c>
    </row>
    <row r="585" spans="1:14" x14ac:dyDescent="0.2">
      <c r="A585" s="1">
        <v>45427</v>
      </c>
      <c r="B585">
        <v>3</v>
      </c>
      <c r="C585" t="s">
        <v>16</v>
      </c>
      <c r="D585" s="2">
        <v>0.43194444444444446</v>
      </c>
      <c r="E585">
        <v>18432.97</v>
      </c>
      <c r="F585" s="2">
        <v>0.44305555555555554</v>
      </c>
      <c r="G585">
        <v>18465.23</v>
      </c>
      <c r="H585">
        <v>18420.07</v>
      </c>
      <c r="I585">
        <v>18465.23</v>
      </c>
      <c r="J585" t="s">
        <v>14</v>
      </c>
      <c r="K585">
        <v>32.26</v>
      </c>
      <c r="L585" s="9">
        <v>2.5</v>
      </c>
      <c r="M585">
        <v>1</v>
      </c>
      <c r="N585">
        <v>0</v>
      </c>
    </row>
    <row r="586" spans="1:14" x14ac:dyDescent="0.2">
      <c r="A586" s="1">
        <v>45428</v>
      </c>
      <c r="B586">
        <v>4</v>
      </c>
      <c r="C586" t="s">
        <v>13</v>
      </c>
      <c r="D586" s="2">
        <v>0.39583333333333331</v>
      </c>
      <c r="E586">
        <v>18583.849999999999</v>
      </c>
      <c r="F586" s="2">
        <v>0.40069444444444446</v>
      </c>
      <c r="G586">
        <v>18596.86</v>
      </c>
      <c r="H586">
        <v>18596.86</v>
      </c>
      <c r="I586">
        <v>18551.330000000002</v>
      </c>
      <c r="J586" t="s">
        <v>15</v>
      </c>
      <c r="K586">
        <v>-13.01</v>
      </c>
      <c r="L586" s="9">
        <v>-1</v>
      </c>
      <c r="M586">
        <v>0</v>
      </c>
      <c r="N586">
        <v>0</v>
      </c>
    </row>
    <row r="587" spans="1:14" x14ac:dyDescent="0.2">
      <c r="A587" s="1">
        <v>45428</v>
      </c>
      <c r="B587">
        <v>4</v>
      </c>
      <c r="C587" t="s">
        <v>16</v>
      </c>
      <c r="D587" s="2">
        <v>0.41249999999999998</v>
      </c>
      <c r="E587">
        <v>18608.71</v>
      </c>
      <c r="F587" s="2">
        <v>0.42152777777777778</v>
      </c>
      <c r="G587">
        <v>18595.689999999999</v>
      </c>
      <c r="H587">
        <v>18595.689999999999</v>
      </c>
      <c r="I587">
        <v>18641.28</v>
      </c>
      <c r="J587" t="s">
        <v>15</v>
      </c>
      <c r="K587">
        <v>-13.03</v>
      </c>
      <c r="L587" s="9">
        <v>-1</v>
      </c>
      <c r="M587">
        <v>0</v>
      </c>
      <c r="N587">
        <v>2</v>
      </c>
    </row>
    <row r="588" spans="1:14" x14ac:dyDescent="0.2">
      <c r="A588" s="1">
        <v>45428</v>
      </c>
      <c r="B588">
        <v>4</v>
      </c>
      <c r="C588" t="s">
        <v>16</v>
      </c>
      <c r="D588" s="2">
        <v>0.43472222222222223</v>
      </c>
      <c r="E588">
        <v>18626.71</v>
      </c>
      <c r="F588" s="2">
        <v>0.45763888888888887</v>
      </c>
      <c r="G588">
        <v>18659.310000000001</v>
      </c>
      <c r="H588">
        <v>18613.669999999998</v>
      </c>
      <c r="I588">
        <v>18659.310000000001</v>
      </c>
      <c r="J588" t="s">
        <v>14</v>
      </c>
      <c r="K588">
        <v>32.6</v>
      </c>
      <c r="L588" s="9">
        <v>2.5</v>
      </c>
      <c r="M588">
        <v>1</v>
      </c>
      <c r="N588">
        <v>0</v>
      </c>
    </row>
    <row r="589" spans="1:14" x14ac:dyDescent="0.2">
      <c r="A589" s="1">
        <v>45429</v>
      </c>
      <c r="B589">
        <v>5</v>
      </c>
      <c r="C589" t="s">
        <v>13</v>
      </c>
      <c r="D589" s="2">
        <v>0.39652777777777776</v>
      </c>
      <c r="E589">
        <v>18567.75</v>
      </c>
      <c r="F589" s="2">
        <v>0.41458333333333336</v>
      </c>
      <c r="G589">
        <v>18535.259999999998</v>
      </c>
      <c r="H589">
        <v>18580.75</v>
      </c>
      <c r="I589">
        <v>18535.259999999998</v>
      </c>
      <c r="J589" t="s">
        <v>14</v>
      </c>
      <c r="K589">
        <v>32.49</v>
      </c>
      <c r="L589" s="9">
        <v>2.5</v>
      </c>
      <c r="M589">
        <v>1</v>
      </c>
      <c r="N589">
        <v>2</v>
      </c>
    </row>
    <row r="590" spans="1:14" x14ac:dyDescent="0.2">
      <c r="A590" s="1">
        <v>45429</v>
      </c>
      <c r="B590">
        <v>5</v>
      </c>
      <c r="C590" t="s">
        <v>16</v>
      </c>
      <c r="D590" s="2">
        <v>0.43819444444444444</v>
      </c>
      <c r="E590">
        <v>18572.05</v>
      </c>
      <c r="F590" s="2">
        <v>0.4597222222222222</v>
      </c>
      <c r="G590">
        <v>18559.05</v>
      </c>
      <c r="H590">
        <v>18559.05</v>
      </c>
      <c r="I590">
        <v>18604.55</v>
      </c>
      <c r="J590" t="s">
        <v>15</v>
      </c>
      <c r="K590">
        <v>-13</v>
      </c>
      <c r="L590" s="9">
        <v>-1</v>
      </c>
      <c r="M590">
        <v>0</v>
      </c>
      <c r="N590">
        <v>0</v>
      </c>
    </row>
    <row r="591" spans="1:14" x14ac:dyDescent="0.2">
      <c r="A591" s="1">
        <v>45432</v>
      </c>
      <c r="B591">
        <v>1</v>
      </c>
      <c r="C591" t="s">
        <v>16</v>
      </c>
      <c r="D591" s="2">
        <v>0.40277777777777779</v>
      </c>
      <c r="E591">
        <v>18609.98</v>
      </c>
      <c r="F591" s="2">
        <v>0.41041666666666665</v>
      </c>
      <c r="G591">
        <v>18642.55</v>
      </c>
      <c r="H591">
        <v>18596.95</v>
      </c>
      <c r="I591">
        <v>18642.55</v>
      </c>
      <c r="J591" t="s">
        <v>14</v>
      </c>
      <c r="K591">
        <v>32.57</v>
      </c>
      <c r="L591" s="9">
        <v>2.5</v>
      </c>
      <c r="M591">
        <v>1</v>
      </c>
      <c r="N591">
        <v>0</v>
      </c>
    </row>
    <row r="592" spans="1:14" x14ac:dyDescent="0.2">
      <c r="A592" s="1">
        <v>45433</v>
      </c>
      <c r="B592">
        <v>2</v>
      </c>
      <c r="C592" t="s">
        <v>13</v>
      </c>
      <c r="D592" s="2">
        <v>0.39583333333333331</v>
      </c>
      <c r="E592">
        <v>18599.77</v>
      </c>
      <c r="F592" s="2">
        <v>0.3972222222222222</v>
      </c>
      <c r="G592">
        <v>18612.79</v>
      </c>
      <c r="H592">
        <v>18612.79</v>
      </c>
      <c r="I592">
        <v>18567.22</v>
      </c>
      <c r="J592" t="s">
        <v>15</v>
      </c>
      <c r="K592">
        <v>-13.02</v>
      </c>
      <c r="L592" s="9">
        <v>-1</v>
      </c>
      <c r="M592">
        <v>0</v>
      </c>
      <c r="N592">
        <v>0</v>
      </c>
    </row>
    <row r="593" spans="1:14" x14ac:dyDescent="0.2">
      <c r="A593" s="1">
        <v>45433</v>
      </c>
      <c r="B593">
        <v>2</v>
      </c>
      <c r="C593" t="s">
        <v>16</v>
      </c>
      <c r="D593" s="2">
        <v>0.4201388888888889</v>
      </c>
      <c r="E593">
        <v>18630.919999999998</v>
      </c>
      <c r="F593" s="2">
        <v>0.42152777777777778</v>
      </c>
      <c r="G593">
        <v>18617.87</v>
      </c>
      <c r="H593">
        <v>18617.87</v>
      </c>
      <c r="I593">
        <v>18663.52</v>
      </c>
      <c r="J593" t="s">
        <v>15</v>
      </c>
      <c r="K593">
        <v>-13.04</v>
      </c>
      <c r="L593" s="9">
        <v>-1</v>
      </c>
      <c r="M593">
        <v>0</v>
      </c>
      <c r="N593">
        <v>2</v>
      </c>
    </row>
    <row r="594" spans="1:14" x14ac:dyDescent="0.2">
      <c r="A594" s="1">
        <v>45433</v>
      </c>
      <c r="B594">
        <v>2</v>
      </c>
      <c r="C594" t="s">
        <v>16</v>
      </c>
      <c r="D594" s="2">
        <v>0.43611111111111112</v>
      </c>
      <c r="E594">
        <v>18639.62</v>
      </c>
      <c r="F594" s="2">
        <v>0.44166666666666665</v>
      </c>
      <c r="G594">
        <v>18672.240000000002</v>
      </c>
      <c r="H594">
        <v>18626.57</v>
      </c>
      <c r="I594">
        <v>18672.240000000002</v>
      </c>
      <c r="J594" t="s">
        <v>14</v>
      </c>
      <c r="K594">
        <v>32.619999999999997</v>
      </c>
      <c r="L594" s="9">
        <v>2.5</v>
      </c>
      <c r="M594">
        <v>1</v>
      </c>
      <c r="N594">
        <v>0</v>
      </c>
    </row>
    <row r="595" spans="1:14" x14ac:dyDescent="0.2">
      <c r="A595" s="1">
        <v>45434</v>
      </c>
      <c r="B595">
        <v>3</v>
      </c>
      <c r="C595" t="s">
        <v>16</v>
      </c>
      <c r="D595" s="2">
        <v>0.39861111111111114</v>
      </c>
      <c r="E595">
        <v>18731.41</v>
      </c>
      <c r="F595" s="2">
        <v>0.40138888888888891</v>
      </c>
      <c r="G595">
        <v>18718.3</v>
      </c>
      <c r="H595">
        <v>18718.3</v>
      </c>
      <c r="I595">
        <v>18764.189999999999</v>
      </c>
      <c r="J595" t="s">
        <v>15</v>
      </c>
      <c r="K595">
        <v>-13.11</v>
      </c>
      <c r="L595" s="9">
        <v>-1</v>
      </c>
      <c r="M595">
        <v>0</v>
      </c>
      <c r="N595">
        <v>0</v>
      </c>
    </row>
    <row r="596" spans="1:14" x14ac:dyDescent="0.2">
      <c r="A596" s="1">
        <v>45434</v>
      </c>
      <c r="B596">
        <v>3</v>
      </c>
      <c r="C596" t="s">
        <v>16</v>
      </c>
      <c r="D596" s="2">
        <v>0.41180555555555554</v>
      </c>
      <c r="E596">
        <v>18737.62</v>
      </c>
      <c r="F596" s="2">
        <v>0.42152777777777778</v>
      </c>
      <c r="G596">
        <v>18724.5</v>
      </c>
      <c r="H596">
        <v>18724.5</v>
      </c>
      <c r="I596">
        <v>18770.41</v>
      </c>
      <c r="J596" t="s">
        <v>15</v>
      </c>
      <c r="K596">
        <v>-13.12</v>
      </c>
      <c r="L596" s="9">
        <v>-1</v>
      </c>
      <c r="M596">
        <v>0</v>
      </c>
      <c r="N596">
        <v>2</v>
      </c>
    </row>
    <row r="597" spans="1:14" x14ac:dyDescent="0.2">
      <c r="A597" s="1">
        <v>45436</v>
      </c>
      <c r="B597">
        <v>5</v>
      </c>
      <c r="C597" t="s">
        <v>16</v>
      </c>
      <c r="D597" s="2">
        <v>0.40069444444444446</v>
      </c>
      <c r="E597">
        <v>18691.21</v>
      </c>
      <c r="F597" s="2">
        <v>0.40138888888888891</v>
      </c>
      <c r="G597">
        <v>18678.13</v>
      </c>
      <c r="H597">
        <v>18678.13</v>
      </c>
      <c r="I597">
        <v>18723.919999999998</v>
      </c>
      <c r="J597" t="s">
        <v>15</v>
      </c>
      <c r="K597">
        <v>-13.08</v>
      </c>
      <c r="L597" s="9">
        <v>-1</v>
      </c>
      <c r="M597">
        <v>0</v>
      </c>
      <c r="N597">
        <v>3</v>
      </c>
    </row>
    <row r="598" spans="1:14" x14ac:dyDescent="0.2">
      <c r="A598" s="1">
        <v>45436</v>
      </c>
      <c r="B598">
        <v>5</v>
      </c>
      <c r="C598" t="s">
        <v>16</v>
      </c>
      <c r="D598" s="2">
        <v>0.42569444444444443</v>
      </c>
      <c r="E598">
        <v>18721.91</v>
      </c>
      <c r="F598" s="2">
        <v>0.43472222222222223</v>
      </c>
      <c r="G598">
        <v>18754.669999999998</v>
      </c>
      <c r="H598">
        <v>18708.8</v>
      </c>
      <c r="I598">
        <v>18754.669999999998</v>
      </c>
      <c r="J598" t="s">
        <v>14</v>
      </c>
      <c r="K598">
        <v>32.76</v>
      </c>
      <c r="L598" s="9">
        <v>2.5</v>
      </c>
      <c r="M598">
        <v>1</v>
      </c>
      <c r="N598">
        <v>0</v>
      </c>
    </row>
    <row r="599" spans="1:14" x14ac:dyDescent="0.2">
      <c r="A599" s="1">
        <v>45436</v>
      </c>
      <c r="B599">
        <v>5</v>
      </c>
      <c r="C599" t="s">
        <v>16</v>
      </c>
      <c r="D599" s="2">
        <v>0.45694444444444443</v>
      </c>
      <c r="E599">
        <v>18785.62</v>
      </c>
      <c r="F599" s="2">
        <v>0.46111111111111114</v>
      </c>
      <c r="G599">
        <v>18818.5</v>
      </c>
      <c r="H599">
        <v>18772.47</v>
      </c>
      <c r="I599">
        <v>18818.5</v>
      </c>
      <c r="J599" t="s">
        <v>14</v>
      </c>
      <c r="K599">
        <v>32.869999999999997</v>
      </c>
      <c r="L599" s="9">
        <v>2.5</v>
      </c>
      <c r="M599">
        <v>1</v>
      </c>
      <c r="N599">
        <v>2</v>
      </c>
    </row>
    <row r="600" spans="1:14" x14ac:dyDescent="0.2">
      <c r="A600" s="1">
        <v>45439</v>
      </c>
      <c r="B600">
        <v>1</v>
      </c>
      <c r="C600" t="s">
        <v>16</v>
      </c>
      <c r="D600" s="2">
        <v>0.40277777777777779</v>
      </c>
      <c r="E600">
        <v>18834.5</v>
      </c>
      <c r="F600" s="2">
        <v>0.41111111111111109</v>
      </c>
      <c r="G600">
        <v>18821.32</v>
      </c>
      <c r="H600">
        <v>18821.32</v>
      </c>
      <c r="I600">
        <v>18867.46</v>
      </c>
      <c r="J600" t="s">
        <v>15</v>
      </c>
      <c r="K600">
        <v>-13.18</v>
      </c>
      <c r="L600" s="9">
        <v>-1</v>
      </c>
      <c r="M600">
        <v>0</v>
      </c>
      <c r="N600">
        <v>0</v>
      </c>
    </row>
    <row r="601" spans="1:14" x14ac:dyDescent="0.2">
      <c r="A601" s="1">
        <v>45439</v>
      </c>
      <c r="B601">
        <v>1</v>
      </c>
      <c r="C601" t="s">
        <v>16</v>
      </c>
      <c r="D601" s="2">
        <v>0.45208333333333334</v>
      </c>
      <c r="E601">
        <v>18827.759999999998</v>
      </c>
      <c r="F601" s="2">
        <v>0.4826388888888889</v>
      </c>
      <c r="G601">
        <v>18860.7</v>
      </c>
      <c r="H601">
        <v>18814.580000000002</v>
      </c>
      <c r="I601">
        <v>18860.7</v>
      </c>
      <c r="J601" t="s">
        <v>14</v>
      </c>
      <c r="K601">
        <v>32.950000000000003</v>
      </c>
      <c r="L601" s="9">
        <v>2.5</v>
      </c>
      <c r="M601">
        <v>1</v>
      </c>
      <c r="N601">
        <v>0</v>
      </c>
    </row>
    <row r="602" spans="1:14" x14ac:dyDescent="0.2">
      <c r="A602" s="1">
        <v>45441</v>
      </c>
      <c r="B602">
        <v>3</v>
      </c>
      <c r="C602" t="s">
        <v>16</v>
      </c>
      <c r="D602" s="2">
        <v>0.40972222222222221</v>
      </c>
      <c r="E602">
        <v>18742.28</v>
      </c>
      <c r="F602" s="2">
        <v>0.41180555555555554</v>
      </c>
      <c r="G602">
        <v>18775.080000000002</v>
      </c>
      <c r="H602">
        <v>18729.16</v>
      </c>
      <c r="I602">
        <v>18775.080000000002</v>
      </c>
      <c r="J602" t="s">
        <v>14</v>
      </c>
      <c r="K602">
        <v>32.799999999999997</v>
      </c>
      <c r="L602" s="9">
        <v>2.5</v>
      </c>
      <c r="M602">
        <v>1</v>
      </c>
      <c r="N602">
        <v>2</v>
      </c>
    </row>
    <row r="603" spans="1:14" x14ac:dyDescent="0.2">
      <c r="A603" s="1">
        <v>45441</v>
      </c>
      <c r="B603">
        <v>3</v>
      </c>
      <c r="C603" t="s">
        <v>16</v>
      </c>
      <c r="D603" s="2">
        <v>0.43680555555555556</v>
      </c>
      <c r="E603">
        <v>18785.84</v>
      </c>
      <c r="F603" s="2">
        <v>0.46458333333333335</v>
      </c>
      <c r="G603">
        <v>18772.689999999999</v>
      </c>
      <c r="H603">
        <v>18772.689999999999</v>
      </c>
      <c r="I603">
        <v>18818.72</v>
      </c>
      <c r="J603" t="s">
        <v>15</v>
      </c>
      <c r="K603">
        <v>-13.15</v>
      </c>
      <c r="L603" s="9">
        <v>-1</v>
      </c>
      <c r="M603">
        <v>0</v>
      </c>
      <c r="N603">
        <v>0</v>
      </c>
    </row>
    <row r="604" spans="1:14" x14ac:dyDescent="0.2">
      <c r="A604" s="1">
        <v>45442</v>
      </c>
      <c r="B604">
        <v>4</v>
      </c>
      <c r="C604" t="s">
        <v>13</v>
      </c>
      <c r="D604" s="2">
        <v>0.44166666666666665</v>
      </c>
      <c r="E604">
        <v>18629.240000000002</v>
      </c>
      <c r="F604" s="2">
        <v>0.44513888888888886</v>
      </c>
      <c r="G604">
        <v>18596.64</v>
      </c>
      <c r="H604">
        <v>18642.28</v>
      </c>
      <c r="I604">
        <v>18596.64</v>
      </c>
      <c r="J604" t="s">
        <v>14</v>
      </c>
      <c r="K604">
        <v>32.6</v>
      </c>
      <c r="L604" s="9">
        <v>2.5</v>
      </c>
      <c r="M604">
        <v>1</v>
      </c>
      <c r="N604">
        <v>0</v>
      </c>
    </row>
    <row r="605" spans="1:14" x14ac:dyDescent="0.2">
      <c r="A605" s="1">
        <v>45443</v>
      </c>
      <c r="B605">
        <v>5</v>
      </c>
      <c r="C605" t="s">
        <v>13</v>
      </c>
      <c r="D605" s="2">
        <v>0.39583333333333331</v>
      </c>
      <c r="E605">
        <v>18550.310000000001</v>
      </c>
      <c r="F605" s="2">
        <v>0.39861111111111114</v>
      </c>
      <c r="G605">
        <v>18517.849999999999</v>
      </c>
      <c r="H605">
        <v>18563.29</v>
      </c>
      <c r="I605">
        <v>18517.849999999999</v>
      </c>
      <c r="J605" t="s">
        <v>14</v>
      </c>
      <c r="K605">
        <v>32.46</v>
      </c>
      <c r="L605" s="9">
        <v>2.5</v>
      </c>
      <c r="M605">
        <v>1</v>
      </c>
      <c r="N605">
        <v>2</v>
      </c>
    </row>
    <row r="606" spans="1:14" x14ac:dyDescent="0.2">
      <c r="A606" s="1">
        <v>45443</v>
      </c>
      <c r="B606">
        <v>5</v>
      </c>
      <c r="C606" t="s">
        <v>13</v>
      </c>
      <c r="D606" s="2">
        <v>0.41458333333333336</v>
      </c>
      <c r="E606">
        <v>18492.560000000001</v>
      </c>
      <c r="F606" s="2">
        <v>0.41666666666666669</v>
      </c>
      <c r="G606">
        <v>18460.2</v>
      </c>
      <c r="H606">
        <v>18505.509999999998</v>
      </c>
      <c r="I606">
        <v>18460.2</v>
      </c>
      <c r="J606" t="s">
        <v>14</v>
      </c>
      <c r="K606">
        <v>32.36</v>
      </c>
      <c r="L606" s="9">
        <v>2.5</v>
      </c>
      <c r="M606">
        <v>1</v>
      </c>
      <c r="N606">
        <v>3</v>
      </c>
    </row>
    <row r="607" spans="1:14" x14ac:dyDescent="0.2">
      <c r="A607" s="1">
        <v>45447</v>
      </c>
      <c r="B607">
        <v>2</v>
      </c>
      <c r="C607" t="s">
        <v>16</v>
      </c>
      <c r="D607" s="2">
        <v>0.39583333333333331</v>
      </c>
      <c r="E607">
        <v>18587.38</v>
      </c>
      <c r="F607" s="2">
        <v>0.39652777777777776</v>
      </c>
      <c r="G607">
        <v>18574.37</v>
      </c>
      <c r="H607">
        <v>18574.37</v>
      </c>
      <c r="I607">
        <v>18619.900000000001</v>
      </c>
      <c r="J607" t="s">
        <v>15</v>
      </c>
      <c r="K607">
        <v>-13.01</v>
      </c>
      <c r="L607" s="9">
        <v>-1</v>
      </c>
      <c r="M607">
        <v>0</v>
      </c>
      <c r="N607">
        <v>0</v>
      </c>
    </row>
    <row r="608" spans="1:14" x14ac:dyDescent="0.2">
      <c r="A608" s="1">
        <v>45447</v>
      </c>
      <c r="B608">
        <v>2</v>
      </c>
      <c r="C608" t="s">
        <v>16</v>
      </c>
      <c r="D608" s="2">
        <v>0.4465277777777778</v>
      </c>
      <c r="E608">
        <v>18592.080000000002</v>
      </c>
      <c r="F608" s="2">
        <v>0.44930555555555557</v>
      </c>
      <c r="G608">
        <v>18579.07</v>
      </c>
      <c r="H608">
        <v>18579.07</v>
      </c>
      <c r="I608">
        <v>18624.62</v>
      </c>
      <c r="J608" t="s">
        <v>15</v>
      </c>
      <c r="K608">
        <v>-13.01</v>
      </c>
      <c r="L608" s="9">
        <v>-1</v>
      </c>
      <c r="M608">
        <v>0</v>
      </c>
      <c r="N608">
        <v>2</v>
      </c>
    </row>
    <row r="609" spans="1:14" x14ac:dyDescent="0.2">
      <c r="A609" s="1">
        <v>45448</v>
      </c>
      <c r="B609">
        <v>3</v>
      </c>
      <c r="C609" t="s">
        <v>16</v>
      </c>
      <c r="D609" s="2">
        <v>0.39583333333333331</v>
      </c>
      <c r="E609">
        <v>18792.810000000001</v>
      </c>
      <c r="F609" s="2">
        <v>0.39652777777777776</v>
      </c>
      <c r="G609">
        <v>18779.66</v>
      </c>
      <c r="H609">
        <v>18779.66</v>
      </c>
      <c r="I609">
        <v>18825.7</v>
      </c>
      <c r="J609" t="s">
        <v>15</v>
      </c>
      <c r="K609">
        <v>-13.15</v>
      </c>
      <c r="L609" s="9">
        <v>-1</v>
      </c>
      <c r="M609">
        <v>0</v>
      </c>
      <c r="N609">
        <v>3</v>
      </c>
    </row>
    <row r="610" spans="1:14" x14ac:dyDescent="0.2">
      <c r="A610" s="1">
        <v>45448</v>
      </c>
      <c r="B610">
        <v>3</v>
      </c>
      <c r="C610" t="s">
        <v>16</v>
      </c>
      <c r="D610" s="2">
        <v>0.41388888888888886</v>
      </c>
      <c r="E610">
        <v>18803.060000000001</v>
      </c>
      <c r="F610" s="2">
        <v>0.41666666666666669</v>
      </c>
      <c r="G610">
        <v>18789.900000000001</v>
      </c>
      <c r="H610">
        <v>18789.900000000001</v>
      </c>
      <c r="I610">
        <v>18835.97</v>
      </c>
      <c r="J610" t="s">
        <v>15</v>
      </c>
      <c r="K610">
        <v>-13.16</v>
      </c>
      <c r="L610" s="9">
        <v>-1</v>
      </c>
      <c r="M610">
        <v>0</v>
      </c>
      <c r="N610">
        <v>4</v>
      </c>
    </row>
    <row r="611" spans="1:14" x14ac:dyDescent="0.2">
      <c r="A611" s="1">
        <v>45448</v>
      </c>
      <c r="B611">
        <v>3</v>
      </c>
      <c r="C611" t="s">
        <v>16</v>
      </c>
      <c r="D611" s="2">
        <v>0.44166666666666665</v>
      </c>
      <c r="E611">
        <v>18876.37</v>
      </c>
      <c r="F611" s="2">
        <v>0.45208333333333334</v>
      </c>
      <c r="G611">
        <v>18863.150000000001</v>
      </c>
      <c r="H611">
        <v>18863.150000000001</v>
      </c>
      <c r="I611">
        <v>18909.400000000001</v>
      </c>
      <c r="J611" t="s">
        <v>15</v>
      </c>
      <c r="K611">
        <v>-13.21</v>
      </c>
      <c r="L611" s="9">
        <v>-1</v>
      </c>
      <c r="M611">
        <v>0</v>
      </c>
      <c r="N611">
        <v>5</v>
      </c>
    </row>
    <row r="612" spans="1:14" x14ac:dyDescent="0.2">
      <c r="A612" s="1">
        <v>45449</v>
      </c>
      <c r="B612">
        <v>4</v>
      </c>
      <c r="C612" t="s">
        <v>13</v>
      </c>
      <c r="D612" s="2">
        <v>0.41388888888888886</v>
      </c>
      <c r="E612">
        <v>19018.580000000002</v>
      </c>
      <c r="F612" s="2">
        <v>0.41597222222222224</v>
      </c>
      <c r="G612">
        <v>18985.3</v>
      </c>
      <c r="H612">
        <v>19031.900000000001</v>
      </c>
      <c r="I612">
        <v>18985.3</v>
      </c>
      <c r="J612" t="s">
        <v>14</v>
      </c>
      <c r="K612">
        <v>33.28</v>
      </c>
      <c r="L612" s="9">
        <v>2.5</v>
      </c>
      <c r="M612">
        <v>1</v>
      </c>
      <c r="N612">
        <v>0</v>
      </c>
    </row>
    <row r="613" spans="1:14" x14ac:dyDescent="0.2">
      <c r="A613" s="1">
        <v>45449</v>
      </c>
      <c r="B613">
        <v>4</v>
      </c>
      <c r="C613" t="s">
        <v>16</v>
      </c>
      <c r="D613" s="2">
        <v>0.43958333333333333</v>
      </c>
      <c r="E613">
        <v>19033.650000000001</v>
      </c>
      <c r="F613" s="2">
        <v>0.45902777777777776</v>
      </c>
      <c r="G613">
        <v>19020.32</v>
      </c>
      <c r="H613">
        <v>19020.32</v>
      </c>
      <c r="I613">
        <v>19066.96</v>
      </c>
      <c r="J613" t="s">
        <v>15</v>
      </c>
      <c r="K613">
        <v>-13.32</v>
      </c>
      <c r="L613" s="9">
        <v>-1</v>
      </c>
      <c r="M613">
        <v>0</v>
      </c>
      <c r="N613">
        <v>0</v>
      </c>
    </row>
    <row r="614" spans="1:14" x14ac:dyDescent="0.2">
      <c r="A614" s="1">
        <v>45450</v>
      </c>
      <c r="B614">
        <v>5</v>
      </c>
      <c r="C614" t="s">
        <v>16</v>
      </c>
      <c r="D614" s="2">
        <v>0.41180555555555554</v>
      </c>
      <c r="E614">
        <v>19010.560000000001</v>
      </c>
      <c r="F614" s="2">
        <v>0.41458333333333336</v>
      </c>
      <c r="G614">
        <v>18997.25</v>
      </c>
      <c r="H614">
        <v>18997.25</v>
      </c>
      <c r="I614">
        <v>19043.830000000002</v>
      </c>
      <c r="J614" t="s">
        <v>15</v>
      </c>
      <c r="K614">
        <v>-13.31</v>
      </c>
      <c r="L614" s="9">
        <v>-1</v>
      </c>
      <c r="M614">
        <v>0</v>
      </c>
      <c r="N614">
        <v>2</v>
      </c>
    </row>
    <row r="615" spans="1:14" x14ac:dyDescent="0.2">
      <c r="A615" s="1">
        <v>45450</v>
      </c>
      <c r="B615">
        <v>5</v>
      </c>
      <c r="C615" t="s">
        <v>16</v>
      </c>
      <c r="D615" s="2">
        <v>0.4513888888888889</v>
      </c>
      <c r="E615">
        <v>19065.810000000001</v>
      </c>
      <c r="F615" s="2">
        <v>0.45277777777777778</v>
      </c>
      <c r="G615">
        <v>19052.47</v>
      </c>
      <c r="H615">
        <v>19052.47</v>
      </c>
      <c r="I615">
        <v>19099.18</v>
      </c>
      <c r="J615" t="s">
        <v>15</v>
      </c>
      <c r="K615">
        <v>-13.35</v>
      </c>
      <c r="L615" s="9">
        <v>-1</v>
      </c>
      <c r="M615">
        <v>0</v>
      </c>
      <c r="N615">
        <v>3</v>
      </c>
    </row>
    <row r="616" spans="1:14" x14ac:dyDescent="0.2">
      <c r="A616" s="1">
        <v>45453</v>
      </c>
      <c r="B616">
        <v>1</v>
      </c>
      <c r="C616" t="s">
        <v>16</v>
      </c>
      <c r="D616" s="2">
        <v>0.43888888888888888</v>
      </c>
      <c r="E616">
        <v>19000.349999999999</v>
      </c>
      <c r="F616" s="2">
        <v>0.45694444444444443</v>
      </c>
      <c r="G616">
        <v>19033.599999999999</v>
      </c>
      <c r="H616">
        <v>18987.05</v>
      </c>
      <c r="I616">
        <v>19033.599999999999</v>
      </c>
      <c r="J616" t="s">
        <v>14</v>
      </c>
      <c r="K616">
        <v>33.25</v>
      </c>
      <c r="L616" s="9">
        <v>2.5</v>
      </c>
      <c r="M616">
        <v>1</v>
      </c>
      <c r="N616">
        <v>0</v>
      </c>
    </row>
    <row r="617" spans="1:14" x14ac:dyDescent="0.2">
      <c r="A617" s="1">
        <v>45454</v>
      </c>
      <c r="B617">
        <v>2</v>
      </c>
      <c r="C617" t="s">
        <v>16</v>
      </c>
      <c r="D617" s="2">
        <v>0.40069444444444446</v>
      </c>
      <c r="E617">
        <v>19039.87</v>
      </c>
      <c r="F617" s="2">
        <v>0.40208333333333335</v>
      </c>
      <c r="G617">
        <v>19026.54</v>
      </c>
      <c r="H617">
        <v>19026.54</v>
      </c>
      <c r="I617">
        <v>19073.189999999999</v>
      </c>
      <c r="J617" t="s">
        <v>15</v>
      </c>
      <c r="K617">
        <v>-13.33</v>
      </c>
      <c r="L617" s="9">
        <v>-1</v>
      </c>
      <c r="M617">
        <v>0</v>
      </c>
      <c r="N617">
        <v>0</v>
      </c>
    </row>
    <row r="618" spans="1:14" x14ac:dyDescent="0.2">
      <c r="A618" s="1">
        <v>45454</v>
      </c>
      <c r="B618">
        <v>2</v>
      </c>
      <c r="C618" t="s">
        <v>13</v>
      </c>
      <c r="D618" s="2">
        <v>0.41458333333333336</v>
      </c>
      <c r="E618">
        <v>18981.23</v>
      </c>
      <c r="F618" s="2">
        <v>0.4152777777777778</v>
      </c>
      <c r="G618">
        <v>18994.52</v>
      </c>
      <c r="H618">
        <v>18994.52</v>
      </c>
      <c r="I618">
        <v>18948.02</v>
      </c>
      <c r="J618" t="s">
        <v>15</v>
      </c>
      <c r="K618">
        <v>-13.29</v>
      </c>
      <c r="L618" s="9">
        <v>-1</v>
      </c>
      <c r="M618">
        <v>0</v>
      </c>
      <c r="N618">
        <v>2</v>
      </c>
    </row>
    <row r="619" spans="1:14" x14ac:dyDescent="0.2">
      <c r="A619" s="1">
        <v>45454</v>
      </c>
      <c r="B619">
        <v>2</v>
      </c>
      <c r="C619" t="s">
        <v>16</v>
      </c>
      <c r="D619" s="2">
        <v>0.42638888888888887</v>
      </c>
      <c r="E619">
        <v>19030.7</v>
      </c>
      <c r="F619" s="2">
        <v>0.44444444444444442</v>
      </c>
      <c r="G619">
        <v>19064</v>
      </c>
      <c r="H619">
        <v>19017.38</v>
      </c>
      <c r="I619">
        <v>19064</v>
      </c>
      <c r="J619" t="s">
        <v>14</v>
      </c>
      <c r="K619">
        <v>33.299999999999997</v>
      </c>
      <c r="L619" s="9">
        <v>2.5</v>
      </c>
      <c r="M619">
        <v>1</v>
      </c>
      <c r="N619">
        <v>0</v>
      </c>
    </row>
    <row r="620" spans="1:14" x14ac:dyDescent="0.2">
      <c r="A620" s="1">
        <v>45456</v>
      </c>
      <c r="B620">
        <v>4</v>
      </c>
      <c r="C620" t="s">
        <v>16</v>
      </c>
      <c r="D620" s="2">
        <v>0.40347222222222223</v>
      </c>
      <c r="E620">
        <v>19622.330000000002</v>
      </c>
      <c r="F620" s="2">
        <v>0.40416666666666667</v>
      </c>
      <c r="G620">
        <v>19608.599999999999</v>
      </c>
      <c r="H620">
        <v>19608.599999999999</v>
      </c>
      <c r="I620">
        <v>19656.669999999998</v>
      </c>
      <c r="J620" t="s">
        <v>15</v>
      </c>
      <c r="K620">
        <v>-13.74</v>
      </c>
      <c r="L620" s="9">
        <v>-1</v>
      </c>
      <c r="M620">
        <v>0</v>
      </c>
      <c r="N620">
        <v>0</v>
      </c>
    </row>
    <row r="621" spans="1:14" x14ac:dyDescent="0.2">
      <c r="A621" s="1">
        <v>45456</v>
      </c>
      <c r="B621">
        <v>4</v>
      </c>
      <c r="C621" t="s">
        <v>13</v>
      </c>
      <c r="D621" s="2">
        <v>0.43055555555555558</v>
      </c>
      <c r="E621">
        <v>19554.04</v>
      </c>
      <c r="F621" s="2">
        <v>0.43263888888888891</v>
      </c>
      <c r="G621">
        <v>19519.82</v>
      </c>
      <c r="H621">
        <v>19567.73</v>
      </c>
      <c r="I621">
        <v>19519.82</v>
      </c>
      <c r="J621" t="s">
        <v>14</v>
      </c>
      <c r="K621">
        <v>34.22</v>
      </c>
      <c r="L621" s="9">
        <v>2.5</v>
      </c>
      <c r="M621">
        <v>1</v>
      </c>
      <c r="N621">
        <v>0</v>
      </c>
    </row>
    <row r="622" spans="1:14" x14ac:dyDescent="0.2">
      <c r="A622" s="1">
        <v>45456</v>
      </c>
      <c r="B622">
        <v>4</v>
      </c>
      <c r="C622" t="s">
        <v>13</v>
      </c>
      <c r="D622" s="2">
        <v>0.45763888888888887</v>
      </c>
      <c r="E622">
        <v>19532.68</v>
      </c>
      <c r="F622" s="2">
        <v>0.46250000000000002</v>
      </c>
      <c r="G622">
        <v>19546.349999999999</v>
      </c>
      <c r="H622">
        <v>19546.349999999999</v>
      </c>
      <c r="I622">
        <v>19498.490000000002</v>
      </c>
      <c r="J622" t="s">
        <v>15</v>
      </c>
      <c r="K622">
        <v>-13.67</v>
      </c>
      <c r="L622" s="9">
        <v>-1</v>
      </c>
      <c r="M622">
        <v>0</v>
      </c>
      <c r="N622">
        <v>0</v>
      </c>
    </row>
    <row r="623" spans="1:14" x14ac:dyDescent="0.2">
      <c r="A623" s="1">
        <v>45457</v>
      </c>
      <c r="B623">
        <v>5</v>
      </c>
      <c r="C623" t="s">
        <v>16</v>
      </c>
      <c r="D623" s="2">
        <v>0.40347222222222223</v>
      </c>
      <c r="E623">
        <v>19567.75</v>
      </c>
      <c r="F623" s="2">
        <v>0.40902777777777777</v>
      </c>
      <c r="G623">
        <v>19601.990000000002</v>
      </c>
      <c r="H623">
        <v>19554.05</v>
      </c>
      <c r="I623">
        <v>19601.990000000002</v>
      </c>
      <c r="J623" t="s">
        <v>14</v>
      </c>
      <c r="K623">
        <v>34.24</v>
      </c>
      <c r="L623" s="9">
        <v>2.5</v>
      </c>
      <c r="M623">
        <v>1</v>
      </c>
      <c r="N623">
        <v>0</v>
      </c>
    </row>
    <row r="624" spans="1:14" x14ac:dyDescent="0.2">
      <c r="A624" s="1">
        <v>45460</v>
      </c>
      <c r="B624">
        <v>1</v>
      </c>
      <c r="C624" t="s">
        <v>13</v>
      </c>
      <c r="D624" s="2">
        <v>0.40763888888888888</v>
      </c>
      <c r="E624">
        <v>19658.96</v>
      </c>
      <c r="F624" s="2">
        <v>0.40902777777777777</v>
      </c>
      <c r="G624">
        <v>19624.560000000001</v>
      </c>
      <c r="H624">
        <v>19672.72</v>
      </c>
      <c r="I624">
        <v>19624.560000000001</v>
      </c>
      <c r="J624" t="s">
        <v>14</v>
      </c>
      <c r="K624">
        <v>34.4</v>
      </c>
      <c r="L624" s="9">
        <v>2.5</v>
      </c>
      <c r="M624">
        <v>1</v>
      </c>
      <c r="N624">
        <v>2</v>
      </c>
    </row>
    <row r="625" spans="1:14" x14ac:dyDescent="0.2">
      <c r="A625" s="1">
        <v>45460</v>
      </c>
      <c r="B625">
        <v>1</v>
      </c>
      <c r="C625" t="s">
        <v>16</v>
      </c>
      <c r="D625" s="2">
        <v>0.42499999999999999</v>
      </c>
      <c r="E625">
        <v>19685.86</v>
      </c>
      <c r="F625" s="2">
        <v>0.43402777777777779</v>
      </c>
      <c r="G625">
        <v>19672.080000000002</v>
      </c>
      <c r="H625">
        <v>19672.080000000002</v>
      </c>
      <c r="I625">
        <v>19720.310000000001</v>
      </c>
      <c r="J625" t="s">
        <v>15</v>
      </c>
      <c r="K625">
        <v>-13.78</v>
      </c>
      <c r="L625" s="9">
        <v>-1</v>
      </c>
      <c r="M625">
        <v>0</v>
      </c>
      <c r="N625">
        <v>0</v>
      </c>
    </row>
    <row r="626" spans="1:14" x14ac:dyDescent="0.2">
      <c r="A626" s="1">
        <v>45461</v>
      </c>
      <c r="B626">
        <v>2</v>
      </c>
      <c r="C626" t="s">
        <v>13</v>
      </c>
      <c r="D626" s="2">
        <v>0.40833333333333333</v>
      </c>
      <c r="E626">
        <v>19904.48</v>
      </c>
      <c r="F626" s="2">
        <v>0.41458333333333336</v>
      </c>
      <c r="G626">
        <v>19918.41</v>
      </c>
      <c r="H626">
        <v>19918.41</v>
      </c>
      <c r="I626">
        <v>19869.64</v>
      </c>
      <c r="J626" t="s">
        <v>15</v>
      </c>
      <c r="K626">
        <v>-13.93</v>
      </c>
      <c r="L626" s="9">
        <v>-1</v>
      </c>
      <c r="M626">
        <v>0</v>
      </c>
      <c r="N626">
        <v>2</v>
      </c>
    </row>
    <row r="627" spans="1:14" x14ac:dyDescent="0.2">
      <c r="A627" s="1">
        <v>45461</v>
      </c>
      <c r="B627">
        <v>2</v>
      </c>
      <c r="C627" t="s">
        <v>16</v>
      </c>
      <c r="D627" s="2">
        <v>0.42708333333333331</v>
      </c>
      <c r="E627">
        <v>19921.03</v>
      </c>
      <c r="F627" s="2">
        <v>0.42916666666666664</v>
      </c>
      <c r="G627">
        <v>19907.09</v>
      </c>
      <c r="H627">
        <v>19907.09</v>
      </c>
      <c r="I627">
        <v>19955.89</v>
      </c>
      <c r="J627" t="s">
        <v>15</v>
      </c>
      <c r="K627">
        <v>-13.94</v>
      </c>
      <c r="L627" s="9">
        <v>-1</v>
      </c>
      <c r="M627">
        <v>0</v>
      </c>
      <c r="N627">
        <v>3</v>
      </c>
    </row>
    <row r="628" spans="1:14" x14ac:dyDescent="0.2">
      <c r="A628" s="1">
        <v>45461</v>
      </c>
      <c r="B628">
        <v>2</v>
      </c>
      <c r="C628" t="s">
        <v>13</v>
      </c>
      <c r="D628" s="2">
        <v>0.45416666666666666</v>
      </c>
      <c r="E628">
        <v>19880.36</v>
      </c>
      <c r="F628" s="2">
        <v>0.46736111111111112</v>
      </c>
      <c r="G628">
        <v>19845.57</v>
      </c>
      <c r="H628">
        <v>19894.27</v>
      </c>
      <c r="I628">
        <v>19845.57</v>
      </c>
      <c r="J628" t="s">
        <v>14</v>
      </c>
      <c r="K628">
        <v>34.79</v>
      </c>
      <c r="L628" s="9">
        <v>2.5</v>
      </c>
      <c r="M628">
        <v>1</v>
      </c>
      <c r="N628">
        <v>0</v>
      </c>
    </row>
    <row r="629" spans="1:14" x14ac:dyDescent="0.2">
      <c r="A629" s="1">
        <v>45462</v>
      </c>
      <c r="B629">
        <v>3</v>
      </c>
      <c r="C629" t="s">
        <v>13</v>
      </c>
      <c r="D629" s="2">
        <v>0.41666666666666669</v>
      </c>
      <c r="E629">
        <v>19951.39</v>
      </c>
      <c r="F629" s="2">
        <v>0.64583333333333337</v>
      </c>
      <c r="G629">
        <v>19954.3</v>
      </c>
      <c r="H629">
        <v>19965.36</v>
      </c>
      <c r="I629">
        <v>19916.48</v>
      </c>
      <c r="J629" t="s">
        <v>18</v>
      </c>
      <c r="K629">
        <v>-2.91</v>
      </c>
      <c r="L629" s="9">
        <v>-0.208280401</v>
      </c>
      <c r="M629">
        <v>0</v>
      </c>
      <c r="N629">
        <v>0</v>
      </c>
    </row>
    <row r="630" spans="1:14" x14ac:dyDescent="0.2">
      <c r="A630" s="1">
        <v>45463</v>
      </c>
      <c r="B630">
        <v>4</v>
      </c>
      <c r="C630" t="s">
        <v>13</v>
      </c>
      <c r="D630" s="2">
        <v>0.40069444444444446</v>
      </c>
      <c r="E630">
        <v>19931.919999999998</v>
      </c>
      <c r="F630" s="2">
        <v>0.40138888888888891</v>
      </c>
      <c r="G630">
        <v>19945.87</v>
      </c>
      <c r="H630">
        <v>19945.87</v>
      </c>
      <c r="I630">
        <v>19897.03</v>
      </c>
      <c r="J630" t="s">
        <v>15</v>
      </c>
      <c r="K630">
        <v>-13.95</v>
      </c>
      <c r="L630" s="9">
        <v>-1</v>
      </c>
      <c r="M630">
        <v>0</v>
      </c>
      <c r="N630">
        <v>2</v>
      </c>
    </row>
    <row r="631" spans="1:14" x14ac:dyDescent="0.2">
      <c r="A631" s="1">
        <v>45463</v>
      </c>
      <c r="B631">
        <v>4</v>
      </c>
      <c r="C631" t="s">
        <v>13</v>
      </c>
      <c r="D631" s="2">
        <v>0.42708333333333331</v>
      </c>
      <c r="E631">
        <v>19879.560000000001</v>
      </c>
      <c r="F631" s="2">
        <v>0.42986111111111114</v>
      </c>
      <c r="G631">
        <v>19844.77</v>
      </c>
      <c r="H631">
        <v>19893.48</v>
      </c>
      <c r="I631">
        <v>19844.77</v>
      </c>
      <c r="J631" t="s">
        <v>14</v>
      </c>
      <c r="K631">
        <v>34.79</v>
      </c>
      <c r="L631" s="9">
        <v>2.5</v>
      </c>
      <c r="M631">
        <v>1</v>
      </c>
      <c r="N631">
        <v>0</v>
      </c>
    </row>
    <row r="632" spans="1:14" x14ac:dyDescent="0.2">
      <c r="A632" s="1">
        <v>45467</v>
      </c>
      <c r="B632">
        <v>1</v>
      </c>
      <c r="C632" t="s">
        <v>16</v>
      </c>
      <c r="D632" s="2">
        <v>0.4201388888888889</v>
      </c>
      <c r="E632">
        <v>19696.18</v>
      </c>
      <c r="F632" s="2">
        <v>0.42777777777777776</v>
      </c>
      <c r="G632">
        <v>19682.39</v>
      </c>
      <c r="H632">
        <v>19682.39</v>
      </c>
      <c r="I632">
        <v>19730.650000000001</v>
      </c>
      <c r="J632" t="s">
        <v>15</v>
      </c>
      <c r="K632">
        <v>-13.79</v>
      </c>
      <c r="L632" s="9">
        <v>-1</v>
      </c>
      <c r="M632">
        <v>0</v>
      </c>
      <c r="N632">
        <v>0</v>
      </c>
    </row>
    <row r="633" spans="1:14" x14ac:dyDescent="0.2">
      <c r="A633" s="1">
        <v>45467</v>
      </c>
      <c r="B633">
        <v>1</v>
      </c>
      <c r="C633" t="s">
        <v>13</v>
      </c>
      <c r="D633" s="2">
        <v>0.45208333333333334</v>
      </c>
      <c r="E633">
        <v>19574.27</v>
      </c>
      <c r="F633" s="2">
        <v>0.4548611111111111</v>
      </c>
      <c r="G633">
        <v>19587.98</v>
      </c>
      <c r="H633">
        <v>19587.98</v>
      </c>
      <c r="I633">
        <v>19540.02</v>
      </c>
      <c r="J633" t="s">
        <v>15</v>
      </c>
      <c r="K633">
        <v>-13.7</v>
      </c>
      <c r="L633" s="9">
        <v>-1</v>
      </c>
      <c r="M633">
        <v>0</v>
      </c>
      <c r="N633">
        <v>2</v>
      </c>
    </row>
    <row r="634" spans="1:14" x14ac:dyDescent="0.2">
      <c r="A634" s="1">
        <v>45469</v>
      </c>
      <c r="B634">
        <v>3</v>
      </c>
      <c r="C634" t="s">
        <v>16</v>
      </c>
      <c r="D634" s="2">
        <v>0.41041666666666665</v>
      </c>
      <c r="E634">
        <v>19711.16</v>
      </c>
      <c r="F634" s="2">
        <v>0.41597222222222224</v>
      </c>
      <c r="G634">
        <v>19697.37</v>
      </c>
      <c r="H634">
        <v>19697.37</v>
      </c>
      <c r="I634">
        <v>19745.66</v>
      </c>
      <c r="J634" t="s">
        <v>15</v>
      </c>
      <c r="K634">
        <v>-13.8</v>
      </c>
      <c r="L634" s="9">
        <v>-1</v>
      </c>
      <c r="M634">
        <v>0</v>
      </c>
      <c r="N634">
        <v>3</v>
      </c>
    </row>
    <row r="635" spans="1:14" x14ac:dyDescent="0.2">
      <c r="A635" s="1">
        <v>45469</v>
      </c>
      <c r="B635">
        <v>3</v>
      </c>
      <c r="C635" t="s">
        <v>13</v>
      </c>
      <c r="D635" s="2">
        <v>0.44583333333333336</v>
      </c>
      <c r="E635">
        <v>19712.46</v>
      </c>
      <c r="F635" s="2">
        <v>0.44722222222222224</v>
      </c>
      <c r="G635">
        <v>19726.25</v>
      </c>
      <c r="H635">
        <v>19726.25</v>
      </c>
      <c r="I635">
        <v>19677.96</v>
      </c>
      <c r="J635" t="s">
        <v>15</v>
      </c>
      <c r="K635">
        <v>-13.8</v>
      </c>
      <c r="L635" s="9">
        <v>-1</v>
      </c>
      <c r="M635">
        <v>0</v>
      </c>
      <c r="N635">
        <v>4</v>
      </c>
    </row>
    <row r="636" spans="1:14" x14ac:dyDescent="0.2">
      <c r="A636" s="1">
        <v>45470</v>
      </c>
      <c r="B636">
        <v>4</v>
      </c>
      <c r="C636" t="s">
        <v>16</v>
      </c>
      <c r="D636" s="2">
        <v>0.40277777777777779</v>
      </c>
      <c r="E636">
        <v>19823.25</v>
      </c>
      <c r="F636" s="2">
        <v>0.40486111111111112</v>
      </c>
      <c r="G636">
        <v>19809.38</v>
      </c>
      <c r="H636">
        <v>19809.38</v>
      </c>
      <c r="I636">
        <v>19857.939999999999</v>
      </c>
      <c r="J636" t="s">
        <v>15</v>
      </c>
      <c r="K636">
        <v>-13.88</v>
      </c>
      <c r="L636" s="9">
        <v>-1</v>
      </c>
      <c r="M636">
        <v>0</v>
      </c>
      <c r="N636">
        <v>5</v>
      </c>
    </row>
    <row r="637" spans="1:14" x14ac:dyDescent="0.2">
      <c r="A637" s="1">
        <v>45470</v>
      </c>
      <c r="B637">
        <v>4</v>
      </c>
      <c r="C637" t="s">
        <v>16</v>
      </c>
      <c r="D637" s="2">
        <v>0.42777777777777776</v>
      </c>
      <c r="E637">
        <v>19832.8</v>
      </c>
      <c r="F637" s="2">
        <v>0.42986111111111114</v>
      </c>
      <c r="G637">
        <v>19818.919999999998</v>
      </c>
      <c r="H637">
        <v>19818.919999999998</v>
      </c>
      <c r="I637">
        <v>19867.509999999998</v>
      </c>
      <c r="J637" t="s">
        <v>15</v>
      </c>
      <c r="K637">
        <v>-13.88</v>
      </c>
      <c r="L637" s="9">
        <v>-1</v>
      </c>
      <c r="M637">
        <v>0</v>
      </c>
      <c r="N637">
        <v>6</v>
      </c>
    </row>
    <row r="638" spans="1:14" x14ac:dyDescent="0.2">
      <c r="A638" s="1">
        <v>45470</v>
      </c>
      <c r="B638">
        <v>4</v>
      </c>
      <c r="C638" t="s">
        <v>13</v>
      </c>
      <c r="D638" s="2">
        <v>0.4513888888888889</v>
      </c>
      <c r="E638">
        <v>19773.62</v>
      </c>
      <c r="F638" s="2">
        <v>0.4777777777777778</v>
      </c>
      <c r="G638">
        <v>19739.02</v>
      </c>
      <c r="H638">
        <v>19787.46</v>
      </c>
      <c r="I638">
        <v>19739.02</v>
      </c>
      <c r="J638" t="s">
        <v>14</v>
      </c>
      <c r="K638">
        <v>34.6</v>
      </c>
      <c r="L638" s="9">
        <v>2.5</v>
      </c>
      <c r="M638">
        <v>1</v>
      </c>
      <c r="N638">
        <v>0</v>
      </c>
    </row>
    <row r="639" spans="1:14" x14ac:dyDescent="0.2">
      <c r="A639" s="1">
        <v>45471</v>
      </c>
      <c r="B639">
        <v>5</v>
      </c>
      <c r="C639" t="s">
        <v>13</v>
      </c>
      <c r="D639" s="2">
        <v>0.39930555555555558</v>
      </c>
      <c r="E639">
        <v>19804.060000000001</v>
      </c>
      <c r="F639" s="2">
        <v>0.4</v>
      </c>
      <c r="G639">
        <v>19817.93</v>
      </c>
      <c r="H639">
        <v>19817.93</v>
      </c>
      <c r="I639">
        <v>19769.41</v>
      </c>
      <c r="J639" t="s">
        <v>15</v>
      </c>
      <c r="K639">
        <v>-13.86</v>
      </c>
      <c r="L639" s="9">
        <v>-1</v>
      </c>
      <c r="M639">
        <v>0</v>
      </c>
      <c r="N639">
        <v>0</v>
      </c>
    </row>
    <row r="640" spans="1:14" x14ac:dyDescent="0.2">
      <c r="A640" s="1">
        <v>45471</v>
      </c>
      <c r="B640">
        <v>5</v>
      </c>
      <c r="C640" t="s">
        <v>16</v>
      </c>
      <c r="D640" s="2">
        <v>0.40833333333333333</v>
      </c>
      <c r="E640">
        <v>19859.61</v>
      </c>
      <c r="F640" s="2">
        <v>0.4152777777777778</v>
      </c>
      <c r="G640">
        <v>19894.37</v>
      </c>
      <c r="H640">
        <v>19845.71</v>
      </c>
      <c r="I640">
        <v>19894.37</v>
      </c>
      <c r="J640" t="s">
        <v>14</v>
      </c>
      <c r="K640">
        <v>34.75</v>
      </c>
      <c r="L640" s="9">
        <v>2.5</v>
      </c>
      <c r="M640">
        <v>1</v>
      </c>
      <c r="N640">
        <v>0</v>
      </c>
    </row>
    <row r="641" spans="1:14" x14ac:dyDescent="0.2">
      <c r="A641" s="1">
        <v>45471</v>
      </c>
      <c r="B641">
        <v>5</v>
      </c>
      <c r="C641" t="s">
        <v>13</v>
      </c>
      <c r="D641" s="2">
        <v>0.44722222222222224</v>
      </c>
      <c r="E641">
        <v>19939.490000000002</v>
      </c>
      <c r="F641" s="2">
        <v>0.45416666666666666</v>
      </c>
      <c r="G641">
        <v>19904.599999999999</v>
      </c>
      <c r="H641">
        <v>19953.45</v>
      </c>
      <c r="I641">
        <v>19904.599999999999</v>
      </c>
      <c r="J641" t="s">
        <v>14</v>
      </c>
      <c r="K641">
        <v>34.89</v>
      </c>
      <c r="L641" s="9">
        <v>2.5</v>
      </c>
      <c r="M641">
        <v>1</v>
      </c>
      <c r="N641">
        <v>2</v>
      </c>
    </row>
    <row r="642" spans="1:14" x14ac:dyDescent="0.2">
      <c r="A642" s="1">
        <v>45475</v>
      </c>
      <c r="B642">
        <v>2</v>
      </c>
      <c r="C642" t="s">
        <v>16</v>
      </c>
      <c r="D642" s="2">
        <v>0.39930555555555558</v>
      </c>
      <c r="E642">
        <v>19775.310000000001</v>
      </c>
      <c r="F642" s="2">
        <v>0.40138888888888891</v>
      </c>
      <c r="G642">
        <v>19809.919999999998</v>
      </c>
      <c r="H642">
        <v>19761.47</v>
      </c>
      <c r="I642">
        <v>19809.919999999998</v>
      </c>
      <c r="J642" t="s">
        <v>14</v>
      </c>
      <c r="K642">
        <v>34.61</v>
      </c>
      <c r="L642" s="9">
        <v>2.5</v>
      </c>
      <c r="M642">
        <v>1</v>
      </c>
      <c r="N642">
        <v>3</v>
      </c>
    </row>
    <row r="643" spans="1:14" x14ac:dyDescent="0.2">
      <c r="A643" s="1">
        <v>45475</v>
      </c>
      <c r="B643">
        <v>2</v>
      </c>
      <c r="C643" t="s">
        <v>16</v>
      </c>
      <c r="D643" s="2">
        <v>0.44236111111111109</v>
      </c>
      <c r="E643">
        <v>19841.759999999998</v>
      </c>
      <c r="F643" s="2">
        <v>0.44791666666666669</v>
      </c>
      <c r="G643">
        <v>19827.87</v>
      </c>
      <c r="H643">
        <v>19827.87</v>
      </c>
      <c r="I643">
        <v>19876.490000000002</v>
      </c>
      <c r="J643" t="s">
        <v>15</v>
      </c>
      <c r="K643">
        <v>-13.89</v>
      </c>
      <c r="L643" s="9">
        <v>-1</v>
      </c>
      <c r="M643">
        <v>0</v>
      </c>
      <c r="N643">
        <v>0</v>
      </c>
    </row>
    <row r="644" spans="1:14" x14ac:dyDescent="0.2">
      <c r="A644" s="1">
        <v>45477</v>
      </c>
      <c r="B644">
        <v>4</v>
      </c>
      <c r="C644" t="s">
        <v>13</v>
      </c>
      <c r="D644" s="2">
        <v>0.40069444444444446</v>
      </c>
      <c r="E644">
        <v>20157.2</v>
      </c>
      <c r="F644" s="2">
        <v>0.4465277777777778</v>
      </c>
      <c r="G644">
        <v>20171.310000000001</v>
      </c>
      <c r="H644">
        <v>20171.310000000001</v>
      </c>
      <c r="I644">
        <v>20121.919999999998</v>
      </c>
      <c r="J644" t="s">
        <v>15</v>
      </c>
      <c r="K644">
        <v>-14.11</v>
      </c>
      <c r="L644" s="9">
        <v>-1</v>
      </c>
      <c r="M644">
        <v>0</v>
      </c>
      <c r="N644">
        <v>2</v>
      </c>
    </row>
    <row r="645" spans="1:14" x14ac:dyDescent="0.2">
      <c r="A645" s="1">
        <v>45477</v>
      </c>
      <c r="B645">
        <v>4</v>
      </c>
      <c r="C645" t="s">
        <v>16</v>
      </c>
      <c r="D645" s="2">
        <v>0.44722222222222224</v>
      </c>
      <c r="E645">
        <v>20169.8</v>
      </c>
      <c r="F645" s="2">
        <v>0.48402777777777778</v>
      </c>
      <c r="G645">
        <v>20155.68</v>
      </c>
      <c r="H645">
        <v>20155.68</v>
      </c>
      <c r="I645">
        <v>20205.099999999999</v>
      </c>
      <c r="J645" t="s">
        <v>15</v>
      </c>
      <c r="K645">
        <v>-14.12</v>
      </c>
      <c r="L645" s="9">
        <v>-1</v>
      </c>
      <c r="M645">
        <v>0</v>
      </c>
      <c r="N645">
        <v>3</v>
      </c>
    </row>
    <row r="646" spans="1:14" x14ac:dyDescent="0.2">
      <c r="A646" s="1">
        <v>45478</v>
      </c>
      <c r="B646">
        <v>5</v>
      </c>
      <c r="C646" t="s">
        <v>16</v>
      </c>
      <c r="D646" s="2">
        <v>0.39791666666666664</v>
      </c>
      <c r="E646">
        <v>20228.22</v>
      </c>
      <c r="F646" s="2">
        <v>0.40138888888888891</v>
      </c>
      <c r="G646">
        <v>20263.62</v>
      </c>
      <c r="H646">
        <v>20214.060000000001</v>
      </c>
      <c r="I646">
        <v>20263.62</v>
      </c>
      <c r="J646" t="s">
        <v>14</v>
      </c>
      <c r="K646">
        <v>35.4</v>
      </c>
      <c r="L646" s="9">
        <v>2.5</v>
      </c>
      <c r="M646">
        <v>1</v>
      </c>
      <c r="N646">
        <v>0</v>
      </c>
    </row>
    <row r="647" spans="1:14" x14ac:dyDescent="0.2">
      <c r="A647" s="1">
        <v>45478</v>
      </c>
      <c r="B647">
        <v>5</v>
      </c>
      <c r="C647" t="s">
        <v>16</v>
      </c>
      <c r="D647" s="2">
        <v>0.41597222222222224</v>
      </c>
      <c r="E647">
        <v>20275.05</v>
      </c>
      <c r="F647" s="2">
        <v>0.41736111111111113</v>
      </c>
      <c r="G647">
        <v>20310.54</v>
      </c>
      <c r="H647">
        <v>20260.86</v>
      </c>
      <c r="I647">
        <v>20310.54</v>
      </c>
      <c r="J647" t="s">
        <v>14</v>
      </c>
      <c r="K647">
        <v>35.479999999999997</v>
      </c>
      <c r="L647" s="9">
        <v>2.5</v>
      </c>
      <c r="M647">
        <v>1</v>
      </c>
      <c r="N647">
        <v>2</v>
      </c>
    </row>
    <row r="648" spans="1:14" x14ac:dyDescent="0.2">
      <c r="A648" s="1">
        <v>45478</v>
      </c>
      <c r="B648">
        <v>5</v>
      </c>
      <c r="C648" t="s">
        <v>16</v>
      </c>
      <c r="D648" s="2">
        <v>0.43472222222222223</v>
      </c>
      <c r="E648">
        <v>20279.68</v>
      </c>
      <c r="F648" s="2">
        <v>0.44166666666666665</v>
      </c>
      <c r="G648">
        <v>20265.48</v>
      </c>
      <c r="H648">
        <v>20265.48</v>
      </c>
      <c r="I648">
        <v>20315.16</v>
      </c>
      <c r="J648" t="s">
        <v>15</v>
      </c>
      <c r="K648">
        <v>-14.2</v>
      </c>
      <c r="L648" s="9">
        <v>-1</v>
      </c>
      <c r="M648">
        <v>0</v>
      </c>
      <c r="N648">
        <v>0</v>
      </c>
    </row>
    <row r="649" spans="1:14" x14ac:dyDescent="0.2">
      <c r="A649" s="1">
        <v>45481</v>
      </c>
      <c r="B649">
        <v>1</v>
      </c>
      <c r="C649" t="s">
        <v>13</v>
      </c>
      <c r="D649" s="2">
        <v>0.44374999999999998</v>
      </c>
      <c r="E649">
        <v>20379.689999999999</v>
      </c>
      <c r="F649" s="2">
        <v>0.46041666666666664</v>
      </c>
      <c r="G649">
        <v>20393.95</v>
      </c>
      <c r="H649">
        <v>20393.95</v>
      </c>
      <c r="I649">
        <v>20344.02</v>
      </c>
      <c r="J649" t="s">
        <v>15</v>
      </c>
      <c r="K649">
        <v>-14.27</v>
      </c>
      <c r="L649" s="9">
        <v>-1</v>
      </c>
      <c r="M649">
        <v>0</v>
      </c>
      <c r="N649">
        <v>2</v>
      </c>
    </row>
    <row r="650" spans="1:14" x14ac:dyDescent="0.2">
      <c r="A650" s="1">
        <v>45484</v>
      </c>
      <c r="B650">
        <v>4</v>
      </c>
      <c r="C650" t="s">
        <v>13</v>
      </c>
      <c r="D650" s="2">
        <v>0.40486111111111112</v>
      </c>
      <c r="E650">
        <v>20644.39</v>
      </c>
      <c r="F650" s="2">
        <v>0.40555555555555556</v>
      </c>
      <c r="G650">
        <v>20658.849999999999</v>
      </c>
      <c r="H650">
        <v>20658.849999999999</v>
      </c>
      <c r="I650">
        <v>20608.27</v>
      </c>
      <c r="J650" t="s">
        <v>15</v>
      </c>
      <c r="K650">
        <v>-14.45</v>
      </c>
      <c r="L650" s="9">
        <v>-1</v>
      </c>
      <c r="M650">
        <v>0</v>
      </c>
      <c r="N650">
        <v>3</v>
      </c>
    </row>
    <row r="651" spans="1:14" x14ac:dyDescent="0.2">
      <c r="A651" s="1">
        <v>45485</v>
      </c>
      <c r="B651">
        <v>5</v>
      </c>
      <c r="C651" t="s">
        <v>16</v>
      </c>
      <c r="D651" s="2">
        <v>0.40416666666666667</v>
      </c>
      <c r="E651">
        <v>20253.29</v>
      </c>
      <c r="F651" s="2">
        <v>0.40555555555555556</v>
      </c>
      <c r="G651">
        <v>20239.11</v>
      </c>
      <c r="H651">
        <v>20239.11</v>
      </c>
      <c r="I651">
        <v>20288.73</v>
      </c>
      <c r="J651" t="s">
        <v>15</v>
      </c>
      <c r="K651">
        <v>-14.18</v>
      </c>
      <c r="L651" s="9">
        <v>-1</v>
      </c>
      <c r="M651">
        <v>0</v>
      </c>
      <c r="N651">
        <v>4</v>
      </c>
    </row>
    <row r="652" spans="1:14" x14ac:dyDescent="0.2">
      <c r="A652" s="1">
        <v>45485</v>
      </c>
      <c r="B652">
        <v>5</v>
      </c>
      <c r="C652" t="s">
        <v>16</v>
      </c>
      <c r="D652" s="2">
        <v>0.4465277777777778</v>
      </c>
      <c r="E652">
        <v>20416.23</v>
      </c>
      <c r="F652" s="2">
        <v>0.45416666666666666</v>
      </c>
      <c r="G652">
        <v>20451.96</v>
      </c>
      <c r="H652">
        <v>20401.939999999999</v>
      </c>
      <c r="I652">
        <v>20451.96</v>
      </c>
      <c r="J652" t="s">
        <v>14</v>
      </c>
      <c r="K652">
        <v>35.729999999999997</v>
      </c>
      <c r="L652" s="9">
        <v>2.5</v>
      </c>
      <c r="M652">
        <v>1</v>
      </c>
      <c r="N652">
        <v>0</v>
      </c>
    </row>
    <row r="653" spans="1:14" x14ac:dyDescent="0.2">
      <c r="A653" s="1">
        <v>45488</v>
      </c>
      <c r="B653">
        <v>1</v>
      </c>
      <c r="C653" t="s">
        <v>16</v>
      </c>
      <c r="D653" s="2">
        <v>0.40486111111111112</v>
      </c>
      <c r="E653">
        <v>20440.830000000002</v>
      </c>
      <c r="F653" s="2">
        <v>0.40555555555555556</v>
      </c>
      <c r="G653">
        <v>20426.52</v>
      </c>
      <c r="H653">
        <v>20426.52</v>
      </c>
      <c r="I653">
        <v>20476.599999999999</v>
      </c>
      <c r="J653" t="s">
        <v>15</v>
      </c>
      <c r="K653">
        <v>-14.31</v>
      </c>
      <c r="L653" s="9">
        <v>-1</v>
      </c>
      <c r="M653">
        <v>0</v>
      </c>
      <c r="N653">
        <v>0</v>
      </c>
    </row>
    <row r="654" spans="1:14" x14ac:dyDescent="0.2">
      <c r="A654" s="1">
        <v>45488</v>
      </c>
      <c r="B654">
        <v>1</v>
      </c>
      <c r="C654" t="s">
        <v>16</v>
      </c>
      <c r="D654" s="2">
        <v>0.4201388888888889</v>
      </c>
      <c r="E654">
        <v>20448.419999999998</v>
      </c>
      <c r="F654" s="2">
        <v>0.4375</v>
      </c>
      <c r="G654">
        <v>20484.21</v>
      </c>
      <c r="H654">
        <v>20434.11</v>
      </c>
      <c r="I654">
        <v>20484.21</v>
      </c>
      <c r="J654" t="s">
        <v>14</v>
      </c>
      <c r="K654">
        <v>35.78</v>
      </c>
      <c r="L654" s="9">
        <v>2.5</v>
      </c>
      <c r="M654">
        <v>1</v>
      </c>
      <c r="N654">
        <v>0</v>
      </c>
    </row>
    <row r="655" spans="1:14" x14ac:dyDescent="0.2">
      <c r="A655" s="1">
        <v>45489</v>
      </c>
      <c r="B655">
        <v>2</v>
      </c>
      <c r="C655" t="s">
        <v>13</v>
      </c>
      <c r="D655" s="2">
        <v>0.41666666666666669</v>
      </c>
      <c r="E655">
        <v>20386.240000000002</v>
      </c>
      <c r="F655" s="2">
        <v>0.41805555555555557</v>
      </c>
      <c r="G655">
        <v>20350.57</v>
      </c>
      <c r="H655">
        <v>20400.509999999998</v>
      </c>
      <c r="I655">
        <v>20350.57</v>
      </c>
      <c r="J655" t="s">
        <v>14</v>
      </c>
      <c r="K655">
        <v>35.68</v>
      </c>
      <c r="L655" s="9">
        <v>2.5</v>
      </c>
      <c r="M655">
        <v>1</v>
      </c>
      <c r="N655">
        <v>2</v>
      </c>
    </row>
    <row r="656" spans="1:14" x14ac:dyDescent="0.2">
      <c r="A656" s="1">
        <v>45489</v>
      </c>
      <c r="B656">
        <v>2</v>
      </c>
      <c r="C656" t="s">
        <v>16</v>
      </c>
      <c r="D656" s="2">
        <v>0.44722222222222224</v>
      </c>
      <c r="E656">
        <v>20359.009999999998</v>
      </c>
      <c r="F656" s="2">
        <v>0.45347222222222222</v>
      </c>
      <c r="G656">
        <v>20344.759999999998</v>
      </c>
      <c r="H656">
        <v>20344.759999999998</v>
      </c>
      <c r="I656">
        <v>20394.64</v>
      </c>
      <c r="J656" t="s">
        <v>15</v>
      </c>
      <c r="K656">
        <v>-14.25</v>
      </c>
      <c r="L656" s="9">
        <v>-1</v>
      </c>
      <c r="M656">
        <v>0</v>
      </c>
      <c r="N656">
        <v>0</v>
      </c>
    </row>
    <row r="657" spans="1:14" x14ac:dyDescent="0.2">
      <c r="A657" s="1">
        <v>45490</v>
      </c>
      <c r="B657">
        <v>3</v>
      </c>
      <c r="C657" t="s">
        <v>13</v>
      </c>
      <c r="D657" s="2">
        <v>0.39652777777777776</v>
      </c>
      <c r="E657">
        <v>20061.64</v>
      </c>
      <c r="F657" s="2">
        <v>0.4</v>
      </c>
      <c r="G657">
        <v>20075.68</v>
      </c>
      <c r="H657">
        <v>20075.68</v>
      </c>
      <c r="I657">
        <v>20026.53</v>
      </c>
      <c r="J657" t="s">
        <v>15</v>
      </c>
      <c r="K657">
        <v>-14.04</v>
      </c>
      <c r="L657" s="9">
        <v>-1</v>
      </c>
      <c r="M657">
        <v>0</v>
      </c>
      <c r="N657">
        <v>2</v>
      </c>
    </row>
    <row r="658" spans="1:14" x14ac:dyDescent="0.2">
      <c r="A658" s="1">
        <v>45491</v>
      </c>
      <c r="B658">
        <v>4</v>
      </c>
      <c r="C658" t="s">
        <v>13</v>
      </c>
      <c r="D658" s="2">
        <v>0.39861111111111114</v>
      </c>
      <c r="E658">
        <v>19925.509999999998</v>
      </c>
      <c r="F658" s="2">
        <v>0.40277777777777779</v>
      </c>
      <c r="G658">
        <v>19890.64</v>
      </c>
      <c r="H658">
        <v>19939.46</v>
      </c>
      <c r="I658">
        <v>19890.64</v>
      </c>
      <c r="J658" t="s">
        <v>14</v>
      </c>
      <c r="K658">
        <v>34.869999999999997</v>
      </c>
      <c r="L658" s="9">
        <v>2.5</v>
      </c>
      <c r="M658">
        <v>1</v>
      </c>
      <c r="N658">
        <v>0</v>
      </c>
    </row>
    <row r="659" spans="1:14" x14ac:dyDescent="0.2">
      <c r="A659" s="1">
        <v>45491</v>
      </c>
      <c r="B659">
        <v>4</v>
      </c>
      <c r="C659" t="s">
        <v>13</v>
      </c>
      <c r="D659" s="2">
        <v>0.44236111111111109</v>
      </c>
      <c r="E659">
        <v>19771.810000000001</v>
      </c>
      <c r="F659" s="2">
        <v>0.44305555555555554</v>
      </c>
      <c r="G659">
        <v>19785.650000000001</v>
      </c>
      <c r="H659">
        <v>19785.650000000001</v>
      </c>
      <c r="I659">
        <v>19737.21</v>
      </c>
      <c r="J659" t="s">
        <v>15</v>
      </c>
      <c r="K659">
        <v>-13.84</v>
      </c>
      <c r="L659" s="9">
        <v>-1</v>
      </c>
      <c r="M659">
        <v>0</v>
      </c>
      <c r="N659">
        <v>0</v>
      </c>
    </row>
    <row r="660" spans="1:14" x14ac:dyDescent="0.2">
      <c r="A660" s="1">
        <v>45492</v>
      </c>
      <c r="B660">
        <v>5</v>
      </c>
      <c r="C660" t="s">
        <v>13</v>
      </c>
      <c r="D660" s="2">
        <v>0.39583333333333331</v>
      </c>
      <c r="E660">
        <v>19696.72</v>
      </c>
      <c r="F660" s="2">
        <v>0.39652777777777776</v>
      </c>
      <c r="G660">
        <v>19662.25</v>
      </c>
      <c r="H660">
        <v>19710.509999999998</v>
      </c>
      <c r="I660">
        <v>19662.25</v>
      </c>
      <c r="J660" t="s">
        <v>14</v>
      </c>
      <c r="K660">
        <v>34.47</v>
      </c>
      <c r="L660" s="9">
        <v>2.5</v>
      </c>
      <c r="M660">
        <v>1</v>
      </c>
      <c r="N660">
        <v>0</v>
      </c>
    </row>
    <row r="661" spans="1:14" x14ac:dyDescent="0.2">
      <c r="A661" s="1">
        <v>45492</v>
      </c>
      <c r="B661">
        <v>5</v>
      </c>
      <c r="C661" t="s">
        <v>13</v>
      </c>
      <c r="D661" s="2">
        <v>0.43263888888888891</v>
      </c>
      <c r="E661">
        <v>19692.189999999999</v>
      </c>
      <c r="F661" s="2">
        <v>0.43541666666666667</v>
      </c>
      <c r="G661">
        <v>19657.73</v>
      </c>
      <c r="H661">
        <v>19705.98</v>
      </c>
      <c r="I661">
        <v>19657.73</v>
      </c>
      <c r="J661" t="s">
        <v>14</v>
      </c>
      <c r="K661">
        <v>34.46</v>
      </c>
      <c r="L661" s="9">
        <v>2.5</v>
      </c>
      <c r="M661">
        <v>1</v>
      </c>
      <c r="N661">
        <v>2</v>
      </c>
    </row>
    <row r="662" spans="1:14" x14ac:dyDescent="0.2">
      <c r="A662" s="1">
        <v>45495</v>
      </c>
      <c r="B662">
        <v>1</v>
      </c>
      <c r="C662" t="s">
        <v>16</v>
      </c>
      <c r="D662" s="2">
        <v>0.41041666666666665</v>
      </c>
      <c r="E662">
        <v>19826.21</v>
      </c>
      <c r="F662" s="2">
        <v>0.41111111111111109</v>
      </c>
      <c r="G662">
        <v>19812.330000000002</v>
      </c>
      <c r="H662">
        <v>19812.330000000002</v>
      </c>
      <c r="I662">
        <v>19860.900000000001</v>
      </c>
      <c r="J662" t="s">
        <v>15</v>
      </c>
      <c r="K662">
        <v>-13.88</v>
      </c>
      <c r="L662" s="9">
        <v>-1</v>
      </c>
      <c r="M662">
        <v>0</v>
      </c>
      <c r="N662">
        <v>0</v>
      </c>
    </row>
    <row r="663" spans="1:14" x14ac:dyDescent="0.2">
      <c r="A663" s="1">
        <v>45495</v>
      </c>
      <c r="B663">
        <v>1</v>
      </c>
      <c r="C663" t="s">
        <v>13</v>
      </c>
      <c r="D663" s="2">
        <v>0.42499999999999999</v>
      </c>
      <c r="E663">
        <v>19728.79</v>
      </c>
      <c r="F663" s="2">
        <v>0.42569444444444443</v>
      </c>
      <c r="G663">
        <v>19742.599999999999</v>
      </c>
      <c r="H663">
        <v>19742.599999999999</v>
      </c>
      <c r="I663">
        <v>19694.259999999998</v>
      </c>
      <c r="J663" t="s">
        <v>15</v>
      </c>
      <c r="K663">
        <v>-13.81</v>
      </c>
      <c r="L663" s="9">
        <v>-1</v>
      </c>
      <c r="M663">
        <v>0</v>
      </c>
      <c r="N663">
        <v>2</v>
      </c>
    </row>
    <row r="664" spans="1:14" x14ac:dyDescent="0.2">
      <c r="A664" s="1">
        <v>45495</v>
      </c>
      <c r="B664">
        <v>1</v>
      </c>
      <c r="C664" t="s">
        <v>16</v>
      </c>
      <c r="D664" s="2">
        <v>0.44583333333333336</v>
      </c>
      <c r="E664">
        <v>19810.79</v>
      </c>
      <c r="F664" s="2">
        <v>0.4513888888888889</v>
      </c>
      <c r="G664">
        <v>19796.919999999998</v>
      </c>
      <c r="H664">
        <v>19796.919999999998</v>
      </c>
      <c r="I664">
        <v>19845.45</v>
      </c>
      <c r="J664" t="s">
        <v>15</v>
      </c>
      <c r="K664">
        <v>-13.87</v>
      </c>
      <c r="L664" s="9">
        <v>-1</v>
      </c>
      <c r="M664">
        <v>0</v>
      </c>
      <c r="N664">
        <v>3</v>
      </c>
    </row>
    <row r="665" spans="1:14" x14ac:dyDescent="0.2">
      <c r="A665" s="1">
        <v>45496</v>
      </c>
      <c r="B665">
        <v>2</v>
      </c>
      <c r="C665" t="s">
        <v>16</v>
      </c>
      <c r="D665" s="2">
        <v>0.40625</v>
      </c>
      <c r="E665">
        <v>19837.89</v>
      </c>
      <c r="F665" s="2">
        <v>0.40763888888888888</v>
      </c>
      <c r="G665">
        <v>19824</v>
      </c>
      <c r="H665">
        <v>19824</v>
      </c>
      <c r="I665">
        <v>19872.599999999999</v>
      </c>
      <c r="J665" t="s">
        <v>15</v>
      </c>
      <c r="K665">
        <v>-13.89</v>
      </c>
      <c r="L665" s="9">
        <v>-1</v>
      </c>
      <c r="M665">
        <v>0</v>
      </c>
      <c r="N665">
        <v>4</v>
      </c>
    </row>
    <row r="666" spans="1:14" x14ac:dyDescent="0.2">
      <c r="A666" s="1">
        <v>45496</v>
      </c>
      <c r="B666">
        <v>2</v>
      </c>
      <c r="C666" t="s">
        <v>16</v>
      </c>
      <c r="D666" s="2">
        <v>0.43333333333333335</v>
      </c>
      <c r="E666">
        <v>19857.55</v>
      </c>
      <c r="F666" s="2">
        <v>0.43402777777777779</v>
      </c>
      <c r="G666">
        <v>19843.650000000001</v>
      </c>
      <c r="H666">
        <v>19843.650000000001</v>
      </c>
      <c r="I666">
        <v>19892.3</v>
      </c>
      <c r="J666" t="s">
        <v>15</v>
      </c>
      <c r="K666">
        <v>-13.9</v>
      </c>
      <c r="L666" s="9">
        <v>-1</v>
      </c>
      <c r="M666">
        <v>0</v>
      </c>
      <c r="N666">
        <v>5</v>
      </c>
    </row>
    <row r="667" spans="1:14" x14ac:dyDescent="0.2">
      <c r="A667" s="1">
        <v>45496</v>
      </c>
      <c r="B667">
        <v>2</v>
      </c>
      <c r="C667" t="s">
        <v>13</v>
      </c>
      <c r="D667" s="2">
        <v>0.4513888888888889</v>
      </c>
      <c r="E667">
        <v>19781.55</v>
      </c>
      <c r="F667" s="2">
        <v>0.45624999999999999</v>
      </c>
      <c r="G667">
        <v>19795.400000000001</v>
      </c>
      <c r="H667">
        <v>19795.400000000001</v>
      </c>
      <c r="I667">
        <v>19746.93</v>
      </c>
      <c r="J667" t="s">
        <v>15</v>
      </c>
      <c r="K667">
        <v>-13.85</v>
      </c>
      <c r="L667" s="9">
        <v>-1</v>
      </c>
      <c r="M667">
        <v>0</v>
      </c>
      <c r="N667">
        <v>6</v>
      </c>
    </row>
    <row r="668" spans="1:14" x14ac:dyDescent="0.2">
      <c r="A668" s="1">
        <v>45498</v>
      </c>
      <c r="B668">
        <v>4</v>
      </c>
      <c r="C668" t="s">
        <v>13</v>
      </c>
      <c r="D668" s="2">
        <v>0.40833333333333333</v>
      </c>
      <c r="E668">
        <v>18976.23</v>
      </c>
      <c r="F668" s="2">
        <v>0.41249999999999998</v>
      </c>
      <c r="G668">
        <v>18943.03</v>
      </c>
      <c r="H668">
        <v>18989.52</v>
      </c>
      <c r="I668">
        <v>18943.03</v>
      </c>
      <c r="J668" t="s">
        <v>14</v>
      </c>
      <c r="K668">
        <v>33.21</v>
      </c>
      <c r="L668" s="9">
        <v>2.5</v>
      </c>
      <c r="M668">
        <v>1</v>
      </c>
      <c r="N668">
        <v>0</v>
      </c>
    </row>
    <row r="669" spans="1:14" x14ac:dyDescent="0.2">
      <c r="A669" s="1">
        <v>45498</v>
      </c>
      <c r="B669">
        <v>4</v>
      </c>
      <c r="C669" t="s">
        <v>16</v>
      </c>
      <c r="D669" s="2">
        <v>0.43958333333333333</v>
      </c>
      <c r="E669">
        <v>18909.97</v>
      </c>
      <c r="F669" s="2">
        <v>0.44027777777777777</v>
      </c>
      <c r="G669">
        <v>18896.73</v>
      </c>
      <c r="H669">
        <v>18896.73</v>
      </c>
      <c r="I669">
        <v>18943.060000000001</v>
      </c>
      <c r="J669" t="s">
        <v>15</v>
      </c>
      <c r="K669">
        <v>-13.24</v>
      </c>
      <c r="L669" s="9">
        <v>-1</v>
      </c>
      <c r="M669">
        <v>0</v>
      </c>
      <c r="N669">
        <v>0</v>
      </c>
    </row>
    <row r="670" spans="1:14" x14ac:dyDescent="0.2">
      <c r="A670" s="1">
        <v>45499</v>
      </c>
      <c r="B670">
        <v>5</v>
      </c>
      <c r="C670" t="s">
        <v>13</v>
      </c>
      <c r="D670" s="2">
        <v>0.41041666666666665</v>
      </c>
      <c r="E670">
        <v>18938.72</v>
      </c>
      <c r="F670" s="2">
        <v>0.41111111111111109</v>
      </c>
      <c r="G670">
        <v>18951.98</v>
      </c>
      <c r="H670">
        <v>18951.98</v>
      </c>
      <c r="I670">
        <v>18905.580000000002</v>
      </c>
      <c r="J670" t="s">
        <v>15</v>
      </c>
      <c r="K670">
        <v>-13.26</v>
      </c>
      <c r="L670" s="9">
        <v>-1</v>
      </c>
      <c r="M670">
        <v>0</v>
      </c>
      <c r="N670">
        <v>2</v>
      </c>
    </row>
    <row r="671" spans="1:14" x14ac:dyDescent="0.2">
      <c r="A671" s="1">
        <v>45499</v>
      </c>
      <c r="B671">
        <v>5</v>
      </c>
      <c r="C671" t="s">
        <v>13</v>
      </c>
      <c r="D671" s="2">
        <v>0.44513888888888886</v>
      </c>
      <c r="E671">
        <v>18927.84</v>
      </c>
      <c r="F671" s="2">
        <v>0.44583333333333336</v>
      </c>
      <c r="G671">
        <v>18941.09</v>
      </c>
      <c r="H671">
        <v>18941.09</v>
      </c>
      <c r="I671">
        <v>18894.72</v>
      </c>
      <c r="J671" t="s">
        <v>15</v>
      </c>
      <c r="K671">
        <v>-13.25</v>
      </c>
      <c r="L671" s="9">
        <v>-1</v>
      </c>
      <c r="M671">
        <v>0</v>
      </c>
      <c r="N671">
        <v>3</v>
      </c>
    </row>
    <row r="672" spans="1:14" x14ac:dyDescent="0.2">
      <c r="A672" s="1">
        <v>45502</v>
      </c>
      <c r="B672">
        <v>1</v>
      </c>
      <c r="C672" t="s">
        <v>16</v>
      </c>
      <c r="D672" s="2">
        <v>0.40833333333333333</v>
      </c>
      <c r="E672">
        <v>19189.21</v>
      </c>
      <c r="F672" s="2">
        <v>0.40902777777777777</v>
      </c>
      <c r="G672">
        <v>19175.78</v>
      </c>
      <c r="H672">
        <v>19175.78</v>
      </c>
      <c r="I672">
        <v>19222.8</v>
      </c>
      <c r="J672" t="s">
        <v>15</v>
      </c>
      <c r="K672">
        <v>-13.43</v>
      </c>
      <c r="L672" s="9">
        <v>-1</v>
      </c>
      <c r="M672">
        <v>0</v>
      </c>
      <c r="N672">
        <v>4</v>
      </c>
    </row>
    <row r="673" spans="1:14" x14ac:dyDescent="0.2">
      <c r="A673" s="1">
        <v>45502</v>
      </c>
      <c r="B673">
        <v>1</v>
      </c>
      <c r="C673" t="s">
        <v>13</v>
      </c>
      <c r="D673" s="2">
        <v>0.44097222222222221</v>
      </c>
      <c r="E673">
        <v>19123.45</v>
      </c>
      <c r="F673" s="2">
        <v>0.44166666666666665</v>
      </c>
      <c r="G673">
        <v>19136.84</v>
      </c>
      <c r="H673">
        <v>19136.84</v>
      </c>
      <c r="I673">
        <v>19089.990000000002</v>
      </c>
      <c r="J673" t="s">
        <v>15</v>
      </c>
      <c r="K673">
        <v>-13.39</v>
      </c>
      <c r="L673" s="9">
        <v>-1</v>
      </c>
      <c r="M673">
        <v>0</v>
      </c>
      <c r="N673">
        <v>5</v>
      </c>
    </row>
    <row r="674" spans="1:14" x14ac:dyDescent="0.2">
      <c r="A674" s="1">
        <v>45506</v>
      </c>
      <c r="B674">
        <v>5</v>
      </c>
      <c r="C674" t="s">
        <v>13</v>
      </c>
      <c r="D674" s="2">
        <v>0.42569444444444443</v>
      </c>
      <c r="E674">
        <v>18318.580000000002</v>
      </c>
      <c r="F674" s="2">
        <v>0.42638888888888887</v>
      </c>
      <c r="G674">
        <v>18286.53</v>
      </c>
      <c r="H674">
        <v>18331.41</v>
      </c>
      <c r="I674">
        <v>18286.53</v>
      </c>
      <c r="J674" t="s">
        <v>14</v>
      </c>
      <c r="K674">
        <v>32.06</v>
      </c>
      <c r="L674" s="9">
        <v>2.5</v>
      </c>
      <c r="M674">
        <v>1</v>
      </c>
      <c r="N674">
        <v>0</v>
      </c>
    </row>
    <row r="675" spans="1:14" x14ac:dyDescent="0.2">
      <c r="A675" s="1">
        <v>45509</v>
      </c>
      <c r="B675">
        <v>1</v>
      </c>
      <c r="C675" t="s">
        <v>16</v>
      </c>
      <c r="D675" s="2">
        <v>0.40972222222222221</v>
      </c>
      <c r="E675">
        <v>17775.310000000001</v>
      </c>
      <c r="F675" s="2">
        <v>0.41041666666666665</v>
      </c>
      <c r="G675">
        <v>17806.419999999998</v>
      </c>
      <c r="H675">
        <v>17762.87</v>
      </c>
      <c r="I675">
        <v>17806.419999999998</v>
      </c>
      <c r="J675" t="s">
        <v>14</v>
      </c>
      <c r="K675">
        <v>31.11</v>
      </c>
      <c r="L675" s="9">
        <v>2.5</v>
      </c>
      <c r="M675">
        <v>1</v>
      </c>
      <c r="N675">
        <v>2</v>
      </c>
    </row>
    <row r="676" spans="1:14" x14ac:dyDescent="0.2">
      <c r="A676" s="1">
        <v>45510</v>
      </c>
      <c r="B676">
        <v>2</v>
      </c>
      <c r="C676" t="s">
        <v>13</v>
      </c>
      <c r="D676" s="2">
        <v>0.40694444444444444</v>
      </c>
      <c r="E676">
        <v>17891.099999999999</v>
      </c>
      <c r="F676" s="2">
        <v>0.40763888888888888</v>
      </c>
      <c r="G676">
        <v>17903.63</v>
      </c>
      <c r="H676">
        <v>17903.63</v>
      </c>
      <c r="I676">
        <v>17859.79</v>
      </c>
      <c r="J676" t="s">
        <v>15</v>
      </c>
      <c r="K676">
        <v>-12.52</v>
      </c>
      <c r="L676" s="9">
        <v>-1</v>
      </c>
      <c r="M676">
        <v>0</v>
      </c>
      <c r="N676">
        <v>0</v>
      </c>
    </row>
    <row r="677" spans="1:14" x14ac:dyDescent="0.2">
      <c r="A677" s="1">
        <v>45510</v>
      </c>
      <c r="B677">
        <v>2</v>
      </c>
      <c r="C677" t="s">
        <v>16</v>
      </c>
      <c r="D677" s="2">
        <v>0.42152777777777778</v>
      </c>
      <c r="E677">
        <v>18052.41</v>
      </c>
      <c r="F677" s="2">
        <v>0.42222222222222222</v>
      </c>
      <c r="G677">
        <v>18084</v>
      </c>
      <c r="H677">
        <v>18039.77</v>
      </c>
      <c r="I677">
        <v>18084</v>
      </c>
      <c r="J677" t="s">
        <v>14</v>
      </c>
      <c r="K677">
        <v>31.59</v>
      </c>
      <c r="L677" s="9">
        <v>2.5</v>
      </c>
      <c r="M677">
        <v>1</v>
      </c>
      <c r="N677">
        <v>0</v>
      </c>
    </row>
    <row r="678" spans="1:14" x14ac:dyDescent="0.2">
      <c r="A678" s="1">
        <v>45510</v>
      </c>
      <c r="B678">
        <v>2</v>
      </c>
      <c r="C678" t="s">
        <v>16</v>
      </c>
      <c r="D678" s="2">
        <v>0.4513888888888889</v>
      </c>
      <c r="E678">
        <v>18193.3</v>
      </c>
      <c r="F678" s="2">
        <v>0.45208333333333334</v>
      </c>
      <c r="G678">
        <v>18180.560000000001</v>
      </c>
      <c r="H678">
        <v>18180.560000000001</v>
      </c>
      <c r="I678">
        <v>18225.14</v>
      </c>
      <c r="J678" t="s">
        <v>15</v>
      </c>
      <c r="K678">
        <v>-12.74</v>
      </c>
      <c r="L678" s="9">
        <v>-1</v>
      </c>
      <c r="M678">
        <v>0</v>
      </c>
      <c r="N678">
        <v>0</v>
      </c>
    </row>
    <row r="679" spans="1:14" x14ac:dyDescent="0.2">
      <c r="A679" s="1">
        <v>45511</v>
      </c>
      <c r="B679">
        <v>3</v>
      </c>
      <c r="C679" t="s">
        <v>16</v>
      </c>
      <c r="D679" s="2">
        <v>0.39791666666666664</v>
      </c>
      <c r="E679">
        <v>18365.78</v>
      </c>
      <c r="F679" s="2">
        <v>0.39861111111111114</v>
      </c>
      <c r="G679">
        <v>18352.919999999998</v>
      </c>
      <c r="H679">
        <v>18352.919999999998</v>
      </c>
      <c r="I679">
        <v>18397.919999999998</v>
      </c>
      <c r="J679" t="s">
        <v>15</v>
      </c>
      <c r="K679">
        <v>-12.86</v>
      </c>
      <c r="L679" s="9">
        <v>-1</v>
      </c>
      <c r="M679">
        <v>0</v>
      </c>
      <c r="N679">
        <v>2</v>
      </c>
    </row>
    <row r="680" spans="1:14" x14ac:dyDescent="0.2">
      <c r="A680" s="1">
        <v>45511</v>
      </c>
      <c r="B680">
        <v>3</v>
      </c>
      <c r="C680" t="s">
        <v>13</v>
      </c>
      <c r="D680" s="2">
        <v>0.4375</v>
      </c>
      <c r="E680">
        <v>18332.7</v>
      </c>
      <c r="F680" s="2">
        <v>0.43888888888888888</v>
      </c>
      <c r="G680">
        <v>18345.53</v>
      </c>
      <c r="H680">
        <v>18345.53</v>
      </c>
      <c r="I680">
        <v>18300.62</v>
      </c>
      <c r="J680" t="s">
        <v>15</v>
      </c>
      <c r="K680">
        <v>-12.83</v>
      </c>
      <c r="L680" s="9">
        <v>-1</v>
      </c>
      <c r="M680">
        <v>0</v>
      </c>
      <c r="N680">
        <v>3</v>
      </c>
    </row>
    <row r="681" spans="1:14" x14ac:dyDescent="0.2">
      <c r="A681" s="1">
        <v>45511</v>
      </c>
      <c r="B681">
        <v>3</v>
      </c>
      <c r="C681" t="s">
        <v>16</v>
      </c>
      <c r="D681" s="2">
        <v>0.45277777777777778</v>
      </c>
      <c r="E681">
        <v>18422.12</v>
      </c>
      <c r="F681" s="2">
        <v>0.45416666666666666</v>
      </c>
      <c r="G681">
        <v>18409.23</v>
      </c>
      <c r="H681">
        <v>18409.23</v>
      </c>
      <c r="I681">
        <v>18454.36</v>
      </c>
      <c r="J681" t="s">
        <v>15</v>
      </c>
      <c r="K681">
        <v>-12.9</v>
      </c>
      <c r="L681" s="9">
        <v>-1</v>
      </c>
      <c r="M681">
        <v>0</v>
      </c>
      <c r="N681">
        <v>4</v>
      </c>
    </row>
    <row r="682" spans="1:14" x14ac:dyDescent="0.2">
      <c r="A682" s="1">
        <v>45512</v>
      </c>
      <c r="B682">
        <v>4</v>
      </c>
      <c r="C682" t="s">
        <v>13</v>
      </c>
      <c r="D682" s="2">
        <v>0.40763888888888888</v>
      </c>
      <c r="E682">
        <v>18038.849999999999</v>
      </c>
      <c r="F682" s="2">
        <v>0.40833333333333333</v>
      </c>
      <c r="G682">
        <v>18007.28</v>
      </c>
      <c r="H682">
        <v>18051.47</v>
      </c>
      <c r="I682">
        <v>18007.28</v>
      </c>
      <c r="J682" t="s">
        <v>14</v>
      </c>
      <c r="K682">
        <v>31.57</v>
      </c>
      <c r="L682" s="9">
        <v>2.5</v>
      </c>
      <c r="M682">
        <v>1</v>
      </c>
      <c r="N682">
        <v>0</v>
      </c>
    </row>
    <row r="683" spans="1:14" x14ac:dyDescent="0.2">
      <c r="A683" s="1">
        <v>45512</v>
      </c>
      <c r="B683">
        <v>4</v>
      </c>
      <c r="C683" t="s">
        <v>16</v>
      </c>
      <c r="D683" s="2">
        <v>0.42916666666666664</v>
      </c>
      <c r="E683">
        <v>18215.18</v>
      </c>
      <c r="F683" s="2">
        <v>0.43055555555555558</v>
      </c>
      <c r="G683">
        <v>18202.43</v>
      </c>
      <c r="H683">
        <v>18202.43</v>
      </c>
      <c r="I683">
        <v>18247.060000000001</v>
      </c>
      <c r="J683" t="s">
        <v>15</v>
      </c>
      <c r="K683">
        <v>-12.75</v>
      </c>
      <c r="L683" s="9">
        <v>-1</v>
      </c>
      <c r="M683">
        <v>0</v>
      </c>
      <c r="N683">
        <v>0</v>
      </c>
    </row>
    <row r="684" spans="1:14" x14ac:dyDescent="0.2">
      <c r="A684" s="1">
        <v>45513</v>
      </c>
      <c r="B684">
        <v>5</v>
      </c>
      <c r="C684" t="s">
        <v>16</v>
      </c>
      <c r="D684" s="2">
        <v>0.39930555555555558</v>
      </c>
      <c r="E684">
        <v>18375.96</v>
      </c>
      <c r="F684" s="2">
        <v>0.40138888888888891</v>
      </c>
      <c r="G684">
        <v>18408.12</v>
      </c>
      <c r="H684">
        <v>18363.099999999999</v>
      </c>
      <c r="I684">
        <v>18408.12</v>
      </c>
      <c r="J684" t="s">
        <v>14</v>
      </c>
      <c r="K684">
        <v>32.159999999999997</v>
      </c>
      <c r="L684" s="9">
        <v>2.5</v>
      </c>
      <c r="M684">
        <v>1</v>
      </c>
      <c r="N684">
        <v>0</v>
      </c>
    </row>
    <row r="685" spans="1:14" x14ac:dyDescent="0.2">
      <c r="A685" s="1">
        <v>45513</v>
      </c>
      <c r="B685">
        <v>5</v>
      </c>
      <c r="C685" t="s">
        <v>16</v>
      </c>
      <c r="D685" s="2">
        <v>0.42708333333333331</v>
      </c>
      <c r="E685">
        <v>18440.57</v>
      </c>
      <c r="F685" s="2">
        <v>0.42777777777777776</v>
      </c>
      <c r="G685">
        <v>18427.66</v>
      </c>
      <c r="H685">
        <v>18427.66</v>
      </c>
      <c r="I685">
        <v>18472.84</v>
      </c>
      <c r="J685" t="s">
        <v>15</v>
      </c>
      <c r="K685">
        <v>-12.91</v>
      </c>
      <c r="L685" s="9">
        <v>-1</v>
      </c>
      <c r="M685">
        <v>0</v>
      </c>
      <c r="N685">
        <v>0</v>
      </c>
    </row>
    <row r="686" spans="1:14" x14ac:dyDescent="0.2">
      <c r="A686" s="1">
        <v>45513</v>
      </c>
      <c r="B686">
        <v>5</v>
      </c>
      <c r="C686" t="s">
        <v>16</v>
      </c>
      <c r="D686" s="2">
        <v>0.45694444444444443</v>
      </c>
      <c r="E686">
        <v>18441.57</v>
      </c>
      <c r="F686" s="2">
        <v>0.45763888888888887</v>
      </c>
      <c r="G686">
        <v>18428.66</v>
      </c>
      <c r="H686">
        <v>18428.66</v>
      </c>
      <c r="I686">
        <v>18473.84</v>
      </c>
      <c r="J686" t="s">
        <v>15</v>
      </c>
      <c r="K686">
        <v>-12.91</v>
      </c>
      <c r="L686" s="9">
        <v>-1</v>
      </c>
      <c r="M686">
        <v>0</v>
      </c>
      <c r="N686">
        <v>2</v>
      </c>
    </row>
    <row r="687" spans="1:14" x14ac:dyDescent="0.2">
      <c r="A687" s="1">
        <v>45516</v>
      </c>
      <c r="B687">
        <v>1</v>
      </c>
      <c r="C687" t="s">
        <v>13</v>
      </c>
      <c r="D687" s="2">
        <v>0.40833333333333333</v>
      </c>
      <c r="E687">
        <v>18464.14</v>
      </c>
      <c r="F687" s="2">
        <v>0.40972222222222221</v>
      </c>
      <c r="G687">
        <v>18477.07</v>
      </c>
      <c r="H687">
        <v>18477.07</v>
      </c>
      <c r="I687">
        <v>18431.830000000002</v>
      </c>
      <c r="J687" t="s">
        <v>15</v>
      </c>
      <c r="K687">
        <v>-12.92</v>
      </c>
      <c r="L687" s="9">
        <v>-1</v>
      </c>
      <c r="M687">
        <v>0</v>
      </c>
      <c r="N687">
        <v>3</v>
      </c>
    </row>
    <row r="688" spans="1:14" x14ac:dyDescent="0.2">
      <c r="A688" s="1">
        <v>45516</v>
      </c>
      <c r="B688">
        <v>1</v>
      </c>
      <c r="C688" t="s">
        <v>16</v>
      </c>
      <c r="D688" s="2">
        <v>0.4284722222222222</v>
      </c>
      <c r="E688">
        <v>18557.259999999998</v>
      </c>
      <c r="F688" s="2">
        <v>0.43125000000000002</v>
      </c>
      <c r="G688">
        <v>18589.740000000002</v>
      </c>
      <c r="H688">
        <v>18544.27</v>
      </c>
      <c r="I688">
        <v>18589.740000000002</v>
      </c>
      <c r="J688" t="s">
        <v>14</v>
      </c>
      <c r="K688">
        <v>32.479999999999997</v>
      </c>
      <c r="L688" s="9">
        <v>2.5</v>
      </c>
      <c r="M688">
        <v>1</v>
      </c>
      <c r="N688">
        <v>0</v>
      </c>
    </row>
    <row r="689" spans="1:14" x14ac:dyDescent="0.2">
      <c r="A689" s="1">
        <v>45517</v>
      </c>
      <c r="B689">
        <v>2</v>
      </c>
      <c r="C689" t="s">
        <v>16</v>
      </c>
      <c r="D689" s="2">
        <v>0.39930555555555558</v>
      </c>
      <c r="E689">
        <v>18761.150000000001</v>
      </c>
      <c r="F689" s="2">
        <v>0.40277777777777779</v>
      </c>
      <c r="G689">
        <v>18748.02</v>
      </c>
      <c r="H689">
        <v>18748.02</v>
      </c>
      <c r="I689">
        <v>18793.98</v>
      </c>
      <c r="J689" t="s">
        <v>15</v>
      </c>
      <c r="K689">
        <v>-13.13</v>
      </c>
      <c r="L689" s="9">
        <v>-1</v>
      </c>
      <c r="M689">
        <v>0</v>
      </c>
      <c r="N689">
        <v>0</v>
      </c>
    </row>
    <row r="690" spans="1:14" x14ac:dyDescent="0.2">
      <c r="A690" s="1">
        <v>45517</v>
      </c>
      <c r="B690">
        <v>2</v>
      </c>
      <c r="C690" t="s">
        <v>16</v>
      </c>
      <c r="D690" s="2">
        <v>0.45208333333333334</v>
      </c>
      <c r="E690">
        <v>18838.830000000002</v>
      </c>
      <c r="F690" s="2">
        <v>0.47430555555555554</v>
      </c>
      <c r="G690">
        <v>18871.8</v>
      </c>
      <c r="H690">
        <v>18825.64</v>
      </c>
      <c r="I690">
        <v>18871.8</v>
      </c>
      <c r="J690" t="s">
        <v>14</v>
      </c>
      <c r="K690">
        <v>32.97</v>
      </c>
      <c r="L690" s="9">
        <v>2.5</v>
      </c>
      <c r="M690">
        <v>1</v>
      </c>
      <c r="N690">
        <v>0</v>
      </c>
    </row>
    <row r="691" spans="1:14" x14ac:dyDescent="0.2">
      <c r="A691" s="1">
        <v>45518</v>
      </c>
      <c r="B691">
        <v>3</v>
      </c>
      <c r="C691" t="s">
        <v>13</v>
      </c>
      <c r="D691" s="2">
        <v>0.40625</v>
      </c>
      <c r="E691">
        <v>18979.150000000001</v>
      </c>
      <c r="F691" s="2">
        <v>0.40763888888888888</v>
      </c>
      <c r="G691">
        <v>18992.439999999999</v>
      </c>
      <c r="H691">
        <v>18992.439999999999</v>
      </c>
      <c r="I691">
        <v>18945.939999999999</v>
      </c>
      <c r="J691" t="s">
        <v>15</v>
      </c>
      <c r="K691">
        <v>-13.29</v>
      </c>
      <c r="L691" s="9">
        <v>-1</v>
      </c>
      <c r="M691">
        <v>0</v>
      </c>
      <c r="N691">
        <v>0</v>
      </c>
    </row>
    <row r="692" spans="1:14" x14ac:dyDescent="0.2">
      <c r="A692" s="1">
        <v>45518</v>
      </c>
      <c r="B692">
        <v>3</v>
      </c>
      <c r="C692" t="s">
        <v>16</v>
      </c>
      <c r="D692" s="2">
        <v>0.45555555555555555</v>
      </c>
      <c r="E692">
        <v>18954.36</v>
      </c>
      <c r="F692" s="2">
        <v>0.46041666666666664</v>
      </c>
      <c r="G692">
        <v>18987.53</v>
      </c>
      <c r="H692">
        <v>18941.099999999999</v>
      </c>
      <c r="I692">
        <v>18987.53</v>
      </c>
      <c r="J692" t="s">
        <v>14</v>
      </c>
      <c r="K692">
        <v>33.17</v>
      </c>
      <c r="L692" s="9">
        <v>2.5</v>
      </c>
      <c r="M692">
        <v>1</v>
      </c>
      <c r="N692">
        <v>0</v>
      </c>
    </row>
    <row r="693" spans="1:14" x14ac:dyDescent="0.2">
      <c r="A693" s="1">
        <v>45519</v>
      </c>
      <c r="B693">
        <v>4</v>
      </c>
      <c r="C693" t="s">
        <v>16</v>
      </c>
      <c r="D693" s="2">
        <v>0.3972222222222222</v>
      </c>
      <c r="E693">
        <v>19256.2</v>
      </c>
      <c r="F693" s="2">
        <v>0.39791666666666664</v>
      </c>
      <c r="G693">
        <v>19242.72</v>
      </c>
      <c r="H693">
        <v>19242.72</v>
      </c>
      <c r="I693">
        <v>19289.900000000001</v>
      </c>
      <c r="J693" t="s">
        <v>15</v>
      </c>
      <c r="K693">
        <v>-13.48</v>
      </c>
      <c r="L693" s="9">
        <v>-1</v>
      </c>
      <c r="M693">
        <v>0</v>
      </c>
      <c r="N693">
        <v>0</v>
      </c>
    </row>
    <row r="694" spans="1:14" x14ac:dyDescent="0.2">
      <c r="A694" s="1">
        <v>45519</v>
      </c>
      <c r="B694">
        <v>4</v>
      </c>
      <c r="C694" t="s">
        <v>16</v>
      </c>
      <c r="D694" s="2">
        <v>0.43333333333333335</v>
      </c>
      <c r="E694">
        <v>19360.07</v>
      </c>
      <c r="F694" s="2">
        <v>0.44097222222222221</v>
      </c>
      <c r="G694">
        <v>19393.95</v>
      </c>
      <c r="H694">
        <v>19346.52</v>
      </c>
      <c r="I694">
        <v>19393.95</v>
      </c>
      <c r="J694" t="s">
        <v>14</v>
      </c>
      <c r="K694">
        <v>33.880000000000003</v>
      </c>
      <c r="L694" s="9">
        <v>2.5</v>
      </c>
      <c r="M694">
        <v>1</v>
      </c>
      <c r="N694">
        <v>0</v>
      </c>
    </row>
    <row r="695" spans="1:14" x14ac:dyDescent="0.2">
      <c r="A695" s="1">
        <v>45520</v>
      </c>
      <c r="B695">
        <v>5</v>
      </c>
      <c r="C695" t="s">
        <v>16</v>
      </c>
      <c r="D695" s="2">
        <v>0.4201388888888889</v>
      </c>
      <c r="E695">
        <v>19439.169999999998</v>
      </c>
      <c r="F695" s="2">
        <v>0.42152777777777778</v>
      </c>
      <c r="G695">
        <v>19473.189999999999</v>
      </c>
      <c r="H695">
        <v>19425.57</v>
      </c>
      <c r="I695">
        <v>19473.189999999999</v>
      </c>
      <c r="J695" t="s">
        <v>14</v>
      </c>
      <c r="K695">
        <v>34.020000000000003</v>
      </c>
      <c r="L695" s="9">
        <v>2.5</v>
      </c>
      <c r="M695">
        <v>1</v>
      </c>
      <c r="N695">
        <v>2</v>
      </c>
    </row>
    <row r="696" spans="1:14" x14ac:dyDescent="0.2">
      <c r="A696" s="1">
        <v>45520</v>
      </c>
      <c r="B696">
        <v>5</v>
      </c>
      <c r="C696" t="s">
        <v>13</v>
      </c>
      <c r="D696" s="2">
        <v>0.45208333333333334</v>
      </c>
      <c r="E696">
        <v>19436.03</v>
      </c>
      <c r="F696" s="2">
        <v>0.45277777777777778</v>
      </c>
      <c r="G696">
        <v>19449.64</v>
      </c>
      <c r="H696">
        <v>19449.64</v>
      </c>
      <c r="I696">
        <v>19402.02</v>
      </c>
      <c r="J696" t="s">
        <v>15</v>
      </c>
      <c r="K696">
        <v>-13.61</v>
      </c>
      <c r="L696" s="9">
        <v>-1</v>
      </c>
      <c r="M696">
        <v>0</v>
      </c>
      <c r="N696">
        <v>0</v>
      </c>
    </row>
    <row r="697" spans="1:14" x14ac:dyDescent="0.2">
      <c r="A697" s="1">
        <v>45523</v>
      </c>
      <c r="B697">
        <v>1</v>
      </c>
      <c r="C697" t="s">
        <v>13</v>
      </c>
      <c r="D697" s="2">
        <v>0.39652777777777776</v>
      </c>
      <c r="E697">
        <v>19513.39</v>
      </c>
      <c r="F697" s="2">
        <v>0.4</v>
      </c>
      <c r="G697">
        <v>19479.240000000002</v>
      </c>
      <c r="H697">
        <v>19527.05</v>
      </c>
      <c r="I697">
        <v>19479.240000000002</v>
      </c>
      <c r="J697" t="s">
        <v>14</v>
      </c>
      <c r="K697">
        <v>34.15</v>
      </c>
      <c r="L697" s="9">
        <v>2.5</v>
      </c>
      <c r="M697">
        <v>1</v>
      </c>
      <c r="N697">
        <v>0</v>
      </c>
    </row>
    <row r="698" spans="1:14" x14ac:dyDescent="0.2">
      <c r="A698" s="1">
        <v>45523</v>
      </c>
      <c r="B698">
        <v>1</v>
      </c>
      <c r="C698" t="s">
        <v>16</v>
      </c>
      <c r="D698" s="2">
        <v>0.4513888888888889</v>
      </c>
      <c r="E698">
        <v>19530.740000000002</v>
      </c>
      <c r="F698" s="2">
        <v>0.45347222222222222</v>
      </c>
      <c r="G698">
        <v>19564.919999999998</v>
      </c>
      <c r="H698">
        <v>19517.07</v>
      </c>
      <c r="I698">
        <v>19564.919999999998</v>
      </c>
      <c r="J698" t="s">
        <v>14</v>
      </c>
      <c r="K698">
        <v>34.18</v>
      </c>
      <c r="L698" s="9">
        <v>2.5</v>
      </c>
      <c r="M698">
        <v>1</v>
      </c>
      <c r="N698">
        <v>2</v>
      </c>
    </row>
    <row r="699" spans="1:14" x14ac:dyDescent="0.2">
      <c r="A699" s="1">
        <v>45524</v>
      </c>
      <c r="B699">
        <v>2</v>
      </c>
      <c r="C699" t="s">
        <v>16</v>
      </c>
      <c r="D699" s="2">
        <v>0.41041666666666665</v>
      </c>
      <c r="E699">
        <v>19787.29</v>
      </c>
      <c r="F699" s="2">
        <v>0.41319444444444442</v>
      </c>
      <c r="G699">
        <v>19821.919999999998</v>
      </c>
      <c r="H699">
        <v>19773.439999999999</v>
      </c>
      <c r="I699">
        <v>19821.919999999998</v>
      </c>
      <c r="J699" t="s">
        <v>14</v>
      </c>
      <c r="K699">
        <v>34.630000000000003</v>
      </c>
      <c r="L699" s="9">
        <v>2.5</v>
      </c>
      <c r="M699">
        <v>1</v>
      </c>
      <c r="N699">
        <v>3</v>
      </c>
    </row>
    <row r="700" spans="1:14" x14ac:dyDescent="0.2">
      <c r="A700" s="1">
        <v>45524</v>
      </c>
      <c r="B700">
        <v>2</v>
      </c>
      <c r="C700" t="s">
        <v>13</v>
      </c>
      <c r="D700" s="2">
        <v>0.42986111111111114</v>
      </c>
      <c r="E700">
        <v>19739.25</v>
      </c>
      <c r="F700" s="2">
        <v>0.43194444444444446</v>
      </c>
      <c r="G700">
        <v>19753.07</v>
      </c>
      <c r="H700">
        <v>19753.07</v>
      </c>
      <c r="I700">
        <v>19704.71</v>
      </c>
      <c r="J700" t="s">
        <v>15</v>
      </c>
      <c r="K700">
        <v>-13.82</v>
      </c>
      <c r="L700" s="9">
        <v>-1</v>
      </c>
      <c r="M700">
        <v>0</v>
      </c>
      <c r="N700">
        <v>0</v>
      </c>
    </row>
    <row r="701" spans="1:14" x14ac:dyDescent="0.2">
      <c r="A701" s="1">
        <v>45525</v>
      </c>
      <c r="B701">
        <v>3</v>
      </c>
      <c r="C701" t="s">
        <v>16</v>
      </c>
      <c r="D701" s="2">
        <v>0.41736111111111113</v>
      </c>
      <c r="E701">
        <v>19797.2</v>
      </c>
      <c r="F701" s="2">
        <v>0.42638888888888887</v>
      </c>
      <c r="G701">
        <v>19783.34</v>
      </c>
      <c r="H701">
        <v>19783.34</v>
      </c>
      <c r="I701">
        <v>19831.84</v>
      </c>
      <c r="J701" t="s">
        <v>15</v>
      </c>
      <c r="K701">
        <v>-13.86</v>
      </c>
      <c r="L701" s="9">
        <v>-1</v>
      </c>
      <c r="M701">
        <v>0</v>
      </c>
      <c r="N701">
        <v>2</v>
      </c>
    </row>
    <row r="702" spans="1:14" x14ac:dyDescent="0.2">
      <c r="A702" s="1">
        <v>45525</v>
      </c>
      <c r="B702">
        <v>3</v>
      </c>
      <c r="C702" t="s">
        <v>16</v>
      </c>
      <c r="D702" s="2">
        <v>0.44930555555555557</v>
      </c>
      <c r="E702">
        <v>19880.66</v>
      </c>
      <c r="F702" s="2">
        <v>0.45</v>
      </c>
      <c r="G702">
        <v>19866.75</v>
      </c>
      <c r="H702">
        <v>19866.75</v>
      </c>
      <c r="I702">
        <v>19915.46</v>
      </c>
      <c r="J702" t="s">
        <v>15</v>
      </c>
      <c r="K702">
        <v>-13.92</v>
      </c>
      <c r="L702" s="9">
        <v>-1</v>
      </c>
      <c r="M702">
        <v>0</v>
      </c>
      <c r="N702">
        <v>3</v>
      </c>
    </row>
    <row r="703" spans="1:14" x14ac:dyDescent="0.2">
      <c r="A703" s="1">
        <v>45527</v>
      </c>
      <c r="B703">
        <v>5</v>
      </c>
      <c r="C703" t="s">
        <v>13</v>
      </c>
      <c r="D703" s="2">
        <v>0.39930555555555558</v>
      </c>
      <c r="E703">
        <v>19647.080000000002</v>
      </c>
      <c r="F703" s="2">
        <v>0.40277777777777779</v>
      </c>
      <c r="G703">
        <v>19660.830000000002</v>
      </c>
      <c r="H703">
        <v>19660.830000000002</v>
      </c>
      <c r="I703">
        <v>19612.7</v>
      </c>
      <c r="J703" t="s">
        <v>15</v>
      </c>
      <c r="K703">
        <v>-13.75</v>
      </c>
      <c r="L703" s="9">
        <v>-1</v>
      </c>
      <c r="M703">
        <v>0</v>
      </c>
      <c r="N703">
        <v>4</v>
      </c>
    </row>
    <row r="704" spans="1:14" x14ac:dyDescent="0.2">
      <c r="A704" s="1">
        <v>45527</v>
      </c>
      <c r="B704">
        <v>5</v>
      </c>
      <c r="C704" t="s">
        <v>16</v>
      </c>
      <c r="D704" s="2">
        <v>0.41944444444444445</v>
      </c>
      <c r="E704">
        <v>19748.099999999999</v>
      </c>
      <c r="F704" s="2">
        <v>0.4201388888888889</v>
      </c>
      <c r="G704">
        <v>19734.28</v>
      </c>
      <c r="H704">
        <v>19734.28</v>
      </c>
      <c r="I704">
        <v>19782.66</v>
      </c>
      <c r="J704" t="s">
        <v>15</v>
      </c>
      <c r="K704">
        <v>-13.82</v>
      </c>
      <c r="L704" s="9">
        <v>-1</v>
      </c>
      <c r="M704">
        <v>0</v>
      </c>
      <c r="N704">
        <v>5</v>
      </c>
    </row>
    <row r="705" spans="1:14" x14ac:dyDescent="0.2">
      <c r="A705" s="1">
        <v>45527</v>
      </c>
      <c r="B705">
        <v>5</v>
      </c>
      <c r="C705" t="s">
        <v>16</v>
      </c>
      <c r="D705" s="2">
        <v>0.4375</v>
      </c>
      <c r="E705">
        <v>19801.05</v>
      </c>
      <c r="F705" s="2">
        <v>0.43888888888888888</v>
      </c>
      <c r="G705">
        <v>19787.189999999999</v>
      </c>
      <c r="H705">
        <v>19787.189999999999</v>
      </c>
      <c r="I705">
        <v>19835.7</v>
      </c>
      <c r="J705" t="s">
        <v>15</v>
      </c>
      <c r="K705">
        <v>-13.86</v>
      </c>
      <c r="L705" s="9">
        <v>-1</v>
      </c>
      <c r="M705">
        <v>0</v>
      </c>
      <c r="N705">
        <v>6</v>
      </c>
    </row>
    <row r="706" spans="1:14" x14ac:dyDescent="0.2">
      <c r="A706" s="1">
        <v>45530</v>
      </c>
      <c r="B706">
        <v>1</v>
      </c>
      <c r="C706" t="s">
        <v>13</v>
      </c>
      <c r="D706" s="2">
        <v>0.41041666666666665</v>
      </c>
      <c r="E706">
        <v>19658.900000000001</v>
      </c>
      <c r="F706" s="2">
        <v>0.41736111111111113</v>
      </c>
      <c r="G706">
        <v>19624.5</v>
      </c>
      <c r="H706">
        <v>19672.66</v>
      </c>
      <c r="I706">
        <v>19624.5</v>
      </c>
      <c r="J706" t="s">
        <v>14</v>
      </c>
      <c r="K706">
        <v>34.4</v>
      </c>
      <c r="L706" s="9">
        <v>2.5</v>
      </c>
      <c r="M706">
        <v>1</v>
      </c>
      <c r="N706">
        <v>0</v>
      </c>
    </row>
    <row r="707" spans="1:14" x14ac:dyDescent="0.2">
      <c r="A707" s="1">
        <v>45532</v>
      </c>
      <c r="B707">
        <v>3</v>
      </c>
      <c r="C707" t="s">
        <v>13</v>
      </c>
      <c r="D707" s="2">
        <v>0.40972222222222221</v>
      </c>
      <c r="E707">
        <v>19495.23</v>
      </c>
      <c r="F707" s="2">
        <v>0.41666666666666669</v>
      </c>
      <c r="G707">
        <v>19461.11</v>
      </c>
      <c r="H707">
        <v>19508.87</v>
      </c>
      <c r="I707">
        <v>19461.11</v>
      </c>
      <c r="J707" t="s">
        <v>14</v>
      </c>
      <c r="K707">
        <v>34.119999999999997</v>
      </c>
      <c r="L707" s="9">
        <v>2.5</v>
      </c>
      <c r="M707">
        <v>1</v>
      </c>
      <c r="N707">
        <v>2</v>
      </c>
    </row>
    <row r="708" spans="1:14" x14ac:dyDescent="0.2">
      <c r="A708" s="1">
        <v>45532</v>
      </c>
      <c r="B708">
        <v>3</v>
      </c>
      <c r="C708" t="s">
        <v>13</v>
      </c>
      <c r="D708" s="2">
        <v>0.45347222222222222</v>
      </c>
      <c r="E708">
        <v>19409.78</v>
      </c>
      <c r="F708" s="2">
        <v>0.45416666666666666</v>
      </c>
      <c r="G708">
        <v>19423.37</v>
      </c>
      <c r="H708">
        <v>19423.37</v>
      </c>
      <c r="I708">
        <v>19375.82</v>
      </c>
      <c r="J708" t="s">
        <v>15</v>
      </c>
      <c r="K708">
        <v>-13.59</v>
      </c>
      <c r="L708" s="9">
        <v>-1</v>
      </c>
      <c r="M708">
        <v>0</v>
      </c>
      <c r="N708">
        <v>0</v>
      </c>
    </row>
    <row r="709" spans="1:14" x14ac:dyDescent="0.2">
      <c r="A709" s="1">
        <v>45533</v>
      </c>
      <c r="B709">
        <v>4</v>
      </c>
      <c r="C709" t="s">
        <v>16</v>
      </c>
      <c r="D709" s="2">
        <v>0.40069444444444446</v>
      </c>
      <c r="E709">
        <v>19517.900000000001</v>
      </c>
      <c r="F709" s="2">
        <v>0.40208333333333335</v>
      </c>
      <c r="G709">
        <v>19504.240000000002</v>
      </c>
      <c r="H709">
        <v>19504.240000000002</v>
      </c>
      <c r="I709">
        <v>19552.060000000001</v>
      </c>
      <c r="J709" t="s">
        <v>15</v>
      </c>
      <c r="K709">
        <v>-13.66</v>
      </c>
      <c r="L709" s="9">
        <v>-1</v>
      </c>
      <c r="M709">
        <v>0</v>
      </c>
      <c r="N709">
        <v>2</v>
      </c>
    </row>
    <row r="710" spans="1:14" x14ac:dyDescent="0.2">
      <c r="A710" s="1">
        <v>45533</v>
      </c>
      <c r="B710">
        <v>4</v>
      </c>
      <c r="C710" t="s">
        <v>16</v>
      </c>
      <c r="D710" s="2">
        <v>0.45208333333333334</v>
      </c>
      <c r="E710">
        <v>19608.14</v>
      </c>
      <c r="F710" s="2">
        <v>0.45624999999999999</v>
      </c>
      <c r="G710">
        <v>19594.419999999998</v>
      </c>
      <c r="H710">
        <v>19594.419999999998</v>
      </c>
      <c r="I710">
        <v>19642.46</v>
      </c>
      <c r="J710" t="s">
        <v>15</v>
      </c>
      <c r="K710">
        <v>-13.73</v>
      </c>
      <c r="L710" s="9">
        <v>-1</v>
      </c>
      <c r="M710">
        <v>0</v>
      </c>
      <c r="N710">
        <v>3</v>
      </c>
    </row>
    <row r="711" spans="1:14" x14ac:dyDescent="0.2">
      <c r="A711" s="1">
        <v>45534</v>
      </c>
      <c r="B711">
        <v>5</v>
      </c>
      <c r="C711" t="s">
        <v>16</v>
      </c>
      <c r="D711" s="2">
        <v>0.39583333333333331</v>
      </c>
      <c r="E711">
        <v>19506.580000000002</v>
      </c>
      <c r="F711" s="2">
        <v>0.39652777777777776</v>
      </c>
      <c r="G711">
        <v>19492.919999999998</v>
      </c>
      <c r="H711">
        <v>19492.919999999998</v>
      </c>
      <c r="I711">
        <v>19540.72</v>
      </c>
      <c r="J711" t="s">
        <v>15</v>
      </c>
      <c r="K711">
        <v>-13.65</v>
      </c>
      <c r="L711" s="9">
        <v>-1</v>
      </c>
      <c r="M711">
        <v>0</v>
      </c>
      <c r="N711">
        <v>4</v>
      </c>
    </row>
    <row r="712" spans="1:14" x14ac:dyDescent="0.2">
      <c r="A712" s="1">
        <v>45534</v>
      </c>
      <c r="B712">
        <v>5</v>
      </c>
      <c r="C712" t="s">
        <v>16</v>
      </c>
      <c r="D712" s="2">
        <v>0.41388888888888886</v>
      </c>
      <c r="E712">
        <v>19526.73</v>
      </c>
      <c r="F712" s="2">
        <v>0.41666666666666669</v>
      </c>
      <c r="G712">
        <v>19560.91</v>
      </c>
      <c r="H712">
        <v>19513.07</v>
      </c>
      <c r="I712">
        <v>19560.91</v>
      </c>
      <c r="J712" t="s">
        <v>14</v>
      </c>
      <c r="K712">
        <v>34.17</v>
      </c>
      <c r="L712" s="9">
        <v>2.5</v>
      </c>
      <c r="M712">
        <v>1</v>
      </c>
      <c r="N712">
        <v>0</v>
      </c>
    </row>
    <row r="713" spans="1:14" x14ac:dyDescent="0.2">
      <c r="A713" s="1">
        <v>45534</v>
      </c>
      <c r="B713">
        <v>5</v>
      </c>
      <c r="C713" t="s">
        <v>13</v>
      </c>
      <c r="D713" s="2">
        <v>0.43402777777777779</v>
      </c>
      <c r="E713">
        <v>19501.66</v>
      </c>
      <c r="F713" s="2">
        <v>0.43472222222222223</v>
      </c>
      <c r="G713">
        <v>19467.53</v>
      </c>
      <c r="H713">
        <v>19515.310000000001</v>
      </c>
      <c r="I713">
        <v>19467.53</v>
      </c>
      <c r="J713" t="s">
        <v>14</v>
      </c>
      <c r="K713">
        <v>34.130000000000003</v>
      </c>
      <c r="L713" s="9">
        <v>2.5</v>
      </c>
      <c r="M713">
        <v>1</v>
      </c>
      <c r="N713">
        <v>2</v>
      </c>
    </row>
    <row r="714" spans="1:14" x14ac:dyDescent="0.2">
      <c r="A714" s="1">
        <v>45537</v>
      </c>
      <c r="B714">
        <v>1</v>
      </c>
      <c r="C714" t="s">
        <v>16</v>
      </c>
      <c r="D714" s="2">
        <v>0.40763888888888888</v>
      </c>
      <c r="E714">
        <v>19588.07</v>
      </c>
      <c r="F714" s="2">
        <v>0.41597222222222224</v>
      </c>
      <c r="G714">
        <v>19574.36</v>
      </c>
      <c r="H714">
        <v>19574.36</v>
      </c>
      <c r="I714">
        <v>19622.349999999999</v>
      </c>
      <c r="J714" t="s">
        <v>15</v>
      </c>
      <c r="K714">
        <v>-13.71</v>
      </c>
      <c r="L714" s="9">
        <v>-1</v>
      </c>
      <c r="M714">
        <v>0</v>
      </c>
      <c r="N714">
        <v>0</v>
      </c>
    </row>
    <row r="715" spans="1:14" x14ac:dyDescent="0.2">
      <c r="A715" s="1">
        <v>45537</v>
      </c>
      <c r="B715">
        <v>1</v>
      </c>
      <c r="C715" t="s">
        <v>13</v>
      </c>
      <c r="D715" s="2">
        <v>0.4236111111111111</v>
      </c>
      <c r="E715">
        <v>19558.18</v>
      </c>
      <c r="F715" s="2">
        <v>0.43888888888888888</v>
      </c>
      <c r="G715">
        <v>19571.87</v>
      </c>
      <c r="H715">
        <v>19571.87</v>
      </c>
      <c r="I715">
        <v>19523.95</v>
      </c>
      <c r="J715" t="s">
        <v>15</v>
      </c>
      <c r="K715">
        <v>-13.69</v>
      </c>
      <c r="L715" s="9">
        <v>-1</v>
      </c>
      <c r="M715">
        <v>0</v>
      </c>
      <c r="N715">
        <v>2</v>
      </c>
    </row>
    <row r="716" spans="1:14" x14ac:dyDescent="0.2">
      <c r="A716" s="1">
        <v>45537</v>
      </c>
      <c r="B716">
        <v>1</v>
      </c>
      <c r="C716" t="s">
        <v>16</v>
      </c>
      <c r="D716" s="2">
        <v>0.44513888888888886</v>
      </c>
      <c r="E716">
        <v>19597.98</v>
      </c>
      <c r="F716" s="2">
        <v>0.53472222222222221</v>
      </c>
      <c r="G716">
        <v>19584.259999999998</v>
      </c>
      <c r="H716">
        <v>19584.259999999998</v>
      </c>
      <c r="I716">
        <v>19632.28</v>
      </c>
      <c r="J716" t="s">
        <v>15</v>
      </c>
      <c r="K716">
        <v>-13.72</v>
      </c>
      <c r="L716" s="9">
        <v>-1</v>
      </c>
      <c r="M716">
        <v>0</v>
      </c>
      <c r="N716">
        <v>3</v>
      </c>
    </row>
    <row r="717" spans="1:14" x14ac:dyDescent="0.2">
      <c r="A717" s="1">
        <v>45539</v>
      </c>
      <c r="B717">
        <v>3</v>
      </c>
      <c r="C717" t="s">
        <v>16</v>
      </c>
      <c r="D717" s="2">
        <v>0.40625</v>
      </c>
      <c r="E717">
        <v>18897.560000000001</v>
      </c>
      <c r="F717" s="2">
        <v>0.40833333333333333</v>
      </c>
      <c r="G717">
        <v>18930.63</v>
      </c>
      <c r="H717">
        <v>18884.330000000002</v>
      </c>
      <c r="I717">
        <v>18930.63</v>
      </c>
      <c r="J717" t="s">
        <v>14</v>
      </c>
      <c r="K717">
        <v>33.07</v>
      </c>
      <c r="L717" s="9">
        <v>2.5</v>
      </c>
      <c r="M717">
        <v>1</v>
      </c>
      <c r="N717">
        <v>0</v>
      </c>
    </row>
    <row r="718" spans="1:14" x14ac:dyDescent="0.2">
      <c r="A718" s="1">
        <v>45539</v>
      </c>
      <c r="B718">
        <v>3</v>
      </c>
      <c r="C718" t="s">
        <v>16</v>
      </c>
      <c r="D718" s="2">
        <v>0.44097222222222221</v>
      </c>
      <c r="E718">
        <v>18970.919999999998</v>
      </c>
      <c r="F718" s="2">
        <v>0.44374999999999998</v>
      </c>
      <c r="G718">
        <v>19004.12</v>
      </c>
      <c r="H718">
        <v>18957.64</v>
      </c>
      <c r="I718">
        <v>19004.12</v>
      </c>
      <c r="J718" t="s">
        <v>14</v>
      </c>
      <c r="K718">
        <v>33.200000000000003</v>
      </c>
      <c r="L718" s="9">
        <v>2.5</v>
      </c>
      <c r="M718">
        <v>1</v>
      </c>
      <c r="N718">
        <v>2</v>
      </c>
    </row>
    <row r="719" spans="1:14" x14ac:dyDescent="0.2">
      <c r="A719" s="1">
        <v>45541</v>
      </c>
      <c r="B719">
        <v>5</v>
      </c>
      <c r="C719" t="s">
        <v>13</v>
      </c>
      <c r="D719" s="2">
        <v>0.40416666666666667</v>
      </c>
      <c r="E719">
        <v>18787.599999999999</v>
      </c>
      <c r="F719" s="2">
        <v>0.40486111111111112</v>
      </c>
      <c r="G719">
        <v>18800.75</v>
      </c>
      <c r="H719">
        <v>18800.75</v>
      </c>
      <c r="I719">
        <v>18754.72</v>
      </c>
      <c r="J719" t="s">
        <v>15</v>
      </c>
      <c r="K719">
        <v>-13.15</v>
      </c>
      <c r="L719" s="9">
        <v>-1</v>
      </c>
      <c r="M719">
        <v>0</v>
      </c>
      <c r="N719">
        <v>0</v>
      </c>
    </row>
    <row r="720" spans="1:14" x14ac:dyDescent="0.2">
      <c r="A720" s="1">
        <v>45544</v>
      </c>
      <c r="B720">
        <v>1</v>
      </c>
      <c r="C720" t="s">
        <v>16</v>
      </c>
      <c r="D720" s="2">
        <v>0.4</v>
      </c>
      <c r="E720">
        <v>18616.46</v>
      </c>
      <c r="F720" s="2">
        <v>0.40277777777777779</v>
      </c>
      <c r="G720">
        <v>18603.43</v>
      </c>
      <c r="H720">
        <v>18603.43</v>
      </c>
      <c r="I720">
        <v>18649.04</v>
      </c>
      <c r="J720" t="s">
        <v>15</v>
      </c>
      <c r="K720">
        <v>-13.03</v>
      </c>
      <c r="L720" s="9">
        <v>-1</v>
      </c>
      <c r="M720">
        <v>0</v>
      </c>
      <c r="N720">
        <v>2</v>
      </c>
    </row>
    <row r="721" spans="1:14" x14ac:dyDescent="0.2">
      <c r="A721" s="1">
        <v>45544</v>
      </c>
      <c r="B721">
        <v>1</v>
      </c>
      <c r="C721" t="s">
        <v>13</v>
      </c>
      <c r="D721" s="2">
        <v>0.43611111111111112</v>
      </c>
      <c r="E721">
        <v>18595.259999999998</v>
      </c>
      <c r="F721" s="2">
        <v>0.4375</v>
      </c>
      <c r="G721">
        <v>18562.71</v>
      </c>
      <c r="H721">
        <v>18608.27</v>
      </c>
      <c r="I721">
        <v>18562.71</v>
      </c>
      <c r="J721" t="s">
        <v>14</v>
      </c>
      <c r="K721">
        <v>32.54</v>
      </c>
      <c r="L721" s="9">
        <v>2.5</v>
      </c>
      <c r="M721">
        <v>1</v>
      </c>
      <c r="N721">
        <v>0</v>
      </c>
    </row>
    <row r="722" spans="1:14" x14ac:dyDescent="0.2">
      <c r="A722" s="1">
        <v>45546</v>
      </c>
      <c r="B722">
        <v>3</v>
      </c>
      <c r="C722" t="s">
        <v>13</v>
      </c>
      <c r="D722" s="2">
        <v>0.40833333333333333</v>
      </c>
      <c r="E722">
        <v>18795.189999999999</v>
      </c>
      <c r="F722" s="2">
        <v>0.41180555555555554</v>
      </c>
      <c r="G722">
        <v>18762.3</v>
      </c>
      <c r="H722">
        <v>18808.34</v>
      </c>
      <c r="I722">
        <v>18762.3</v>
      </c>
      <c r="J722" t="s">
        <v>14</v>
      </c>
      <c r="K722">
        <v>32.89</v>
      </c>
      <c r="L722" s="9">
        <v>2.5</v>
      </c>
      <c r="M722">
        <v>1</v>
      </c>
      <c r="N722">
        <v>2</v>
      </c>
    </row>
    <row r="723" spans="1:14" x14ac:dyDescent="0.2">
      <c r="A723" s="1">
        <v>45547</v>
      </c>
      <c r="B723">
        <v>4</v>
      </c>
      <c r="C723" t="s">
        <v>13</v>
      </c>
      <c r="D723" s="2">
        <v>0.39791666666666664</v>
      </c>
      <c r="E723">
        <v>19218.68</v>
      </c>
      <c r="F723" s="2">
        <v>0.39861111111111114</v>
      </c>
      <c r="G723">
        <v>19232.13</v>
      </c>
      <c r="H723">
        <v>19232.13</v>
      </c>
      <c r="I723">
        <v>19185.05</v>
      </c>
      <c r="J723" t="s">
        <v>15</v>
      </c>
      <c r="K723">
        <v>-13.45</v>
      </c>
      <c r="L723" s="9">
        <v>-1</v>
      </c>
      <c r="M723">
        <v>0</v>
      </c>
      <c r="N723">
        <v>0</v>
      </c>
    </row>
    <row r="724" spans="1:14" x14ac:dyDescent="0.2">
      <c r="A724" s="1">
        <v>45547</v>
      </c>
      <c r="B724">
        <v>4</v>
      </c>
      <c r="C724" t="s">
        <v>16</v>
      </c>
      <c r="D724" s="2">
        <v>0.42708333333333331</v>
      </c>
      <c r="E724">
        <v>19268.79</v>
      </c>
      <c r="F724" s="2">
        <v>0.4284722222222222</v>
      </c>
      <c r="G724">
        <v>19302.509999999998</v>
      </c>
      <c r="H724">
        <v>19255.3</v>
      </c>
      <c r="I724">
        <v>19302.509999999998</v>
      </c>
      <c r="J724" t="s">
        <v>14</v>
      </c>
      <c r="K724">
        <v>33.72</v>
      </c>
      <c r="L724" s="9">
        <v>2.5</v>
      </c>
      <c r="M724">
        <v>1</v>
      </c>
      <c r="N724">
        <v>0</v>
      </c>
    </row>
    <row r="725" spans="1:14" x14ac:dyDescent="0.2">
      <c r="A725" s="1">
        <v>45548</v>
      </c>
      <c r="B725">
        <v>5</v>
      </c>
      <c r="C725" t="s">
        <v>16</v>
      </c>
      <c r="D725" s="2">
        <v>0.40486111111111112</v>
      </c>
      <c r="E725">
        <v>19451.77</v>
      </c>
      <c r="F725" s="2">
        <v>0.40694444444444444</v>
      </c>
      <c r="G725">
        <v>19438.150000000001</v>
      </c>
      <c r="H725">
        <v>19438.150000000001</v>
      </c>
      <c r="I725">
        <v>19485.810000000001</v>
      </c>
      <c r="J725" t="s">
        <v>15</v>
      </c>
      <c r="K725">
        <v>-13.62</v>
      </c>
      <c r="L725" s="9">
        <v>-1</v>
      </c>
      <c r="M725">
        <v>0</v>
      </c>
      <c r="N725">
        <v>0</v>
      </c>
    </row>
    <row r="726" spans="1:14" x14ac:dyDescent="0.2">
      <c r="A726" s="1">
        <v>45551</v>
      </c>
      <c r="B726">
        <v>1</v>
      </c>
      <c r="C726" t="s">
        <v>13</v>
      </c>
      <c r="D726" s="2">
        <v>0.40069444444444446</v>
      </c>
      <c r="E726">
        <v>19337.310000000001</v>
      </c>
      <c r="F726" s="2">
        <v>0.40138888888888891</v>
      </c>
      <c r="G726">
        <v>19350.849999999999</v>
      </c>
      <c r="H726">
        <v>19350.849999999999</v>
      </c>
      <c r="I726">
        <v>19303.47</v>
      </c>
      <c r="J726" t="s">
        <v>15</v>
      </c>
      <c r="K726">
        <v>-13.54</v>
      </c>
      <c r="L726" s="9">
        <v>-1</v>
      </c>
      <c r="M726">
        <v>0</v>
      </c>
      <c r="N726">
        <v>2</v>
      </c>
    </row>
    <row r="727" spans="1:14" x14ac:dyDescent="0.2">
      <c r="A727" s="1">
        <v>45551</v>
      </c>
      <c r="B727">
        <v>1</v>
      </c>
      <c r="C727" t="s">
        <v>16</v>
      </c>
      <c r="D727" s="2">
        <v>0.4284722222222222</v>
      </c>
      <c r="E727">
        <v>19432.79</v>
      </c>
      <c r="F727" s="2">
        <v>0.42916666666666664</v>
      </c>
      <c r="G727">
        <v>19419.189999999999</v>
      </c>
      <c r="H727">
        <v>19419.189999999999</v>
      </c>
      <c r="I727">
        <v>19466.8</v>
      </c>
      <c r="J727" t="s">
        <v>15</v>
      </c>
      <c r="K727">
        <v>-13.6</v>
      </c>
      <c r="L727" s="9">
        <v>-1</v>
      </c>
      <c r="M727">
        <v>0</v>
      </c>
      <c r="N727">
        <v>3</v>
      </c>
    </row>
    <row r="728" spans="1:14" x14ac:dyDescent="0.2">
      <c r="A728" s="1">
        <v>45551</v>
      </c>
      <c r="B728">
        <v>1</v>
      </c>
      <c r="C728" t="s">
        <v>13</v>
      </c>
      <c r="D728" s="2">
        <v>0.44166666666666665</v>
      </c>
      <c r="E728">
        <v>19321.060000000001</v>
      </c>
      <c r="F728" s="2">
        <v>0.44236111111111109</v>
      </c>
      <c r="G728">
        <v>19334.59</v>
      </c>
      <c r="H728">
        <v>19334.59</v>
      </c>
      <c r="I728">
        <v>19287.25</v>
      </c>
      <c r="J728" t="s">
        <v>15</v>
      </c>
      <c r="K728">
        <v>-13.52</v>
      </c>
      <c r="L728" s="9">
        <v>-1</v>
      </c>
      <c r="M728">
        <v>0</v>
      </c>
      <c r="N728">
        <v>4</v>
      </c>
    </row>
    <row r="729" spans="1:14" x14ac:dyDescent="0.2">
      <c r="A729" s="1">
        <v>45552</v>
      </c>
      <c r="B729">
        <v>2</v>
      </c>
      <c r="C729" t="s">
        <v>13</v>
      </c>
      <c r="D729" s="2">
        <v>0.41319444444444442</v>
      </c>
      <c r="E729">
        <v>19496.16</v>
      </c>
      <c r="F729" s="2">
        <v>0.4152777777777778</v>
      </c>
      <c r="G729">
        <v>19509.810000000001</v>
      </c>
      <c r="H729">
        <v>19509.810000000001</v>
      </c>
      <c r="I729">
        <v>19462.04</v>
      </c>
      <c r="J729" t="s">
        <v>15</v>
      </c>
      <c r="K729">
        <v>-13.65</v>
      </c>
      <c r="L729" s="9">
        <v>-1</v>
      </c>
      <c r="M729">
        <v>0</v>
      </c>
      <c r="N729">
        <v>5</v>
      </c>
    </row>
    <row r="730" spans="1:14" x14ac:dyDescent="0.2">
      <c r="A730" s="1">
        <v>45552</v>
      </c>
      <c r="B730">
        <v>2</v>
      </c>
      <c r="C730" t="s">
        <v>16</v>
      </c>
      <c r="D730" s="2">
        <v>0.4513888888888889</v>
      </c>
      <c r="E730">
        <v>19589.55</v>
      </c>
      <c r="F730" s="2">
        <v>0.45208333333333334</v>
      </c>
      <c r="G730">
        <v>19575.84</v>
      </c>
      <c r="H730">
        <v>19575.84</v>
      </c>
      <c r="I730">
        <v>19623.830000000002</v>
      </c>
      <c r="J730" t="s">
        <v>15</v>
      </c>
      <c r="K730">
        <v>-13.71</v>
      </c>
      <c r="L730" s="9">
        <v>-1</v>
      </c>
      <c r="M730">
        <v>0</v>
      </c>
      <c r="N730">
        <v>6</v>
      </c>
    </row>
    <row r="731" spans="1:14" x14ac:dyDescent="0.2">
      <c r="A731" s="1">
        <v>45554</v>
      </c>
      <c r="B731">
        <v>4</v>
      </c>
      <c r="C731" t="s">
        <v>16</v>
      </c>
      <c r="D731" s="2">
        <v>0.39583333333333331</v>
      </c>
      <c r="E731">
        <v>19807</v>
      </c>
      <c r="F731" s="2">
        <v>0.39652777777777776</v>
      </c>
      <c r="G731">
        <v>19793.13</v>
      </c>
      <c r="H731">
        <v>19793.13</v>
      </c>
      <c r="I731">
        <v>19841.66</v>
      </c>
      <c r="J731" t="s">
        <v>15</v>
      </c>
      <c r="K731">
        <v>-13.86</v>
      </c>
      <c r="L731" s="9">
        <v>-1</v>
      </c>
      <c r="M731">
        <v>0</v>
      </c>
      <c r="N731">
        <v>7</v>
      </c>
    </row>
    <row r="732" spans="1:14" x14ac:dyDescent="0.2">
      <c r="A732" s="1">
        <v>45554</v>
      </c>
      <c r="B732">
        <v>4</v>
      </c>
      <c r="C732" t="s">
        <v>16</v>
      </c>
      <c r="D732" s="2">
        <v>0.42777777777777776</v>
      </c>
      <c r="E732">
        <v>19806.599999999999</v>
      </c>
      <c r="F732" s="2">
        <v>0.43055555555555558</v>
      </c>
      <c r="G732">
        <v>19841.259999999998</v>
      </c>
      <c r="H732">
        <v>19792.740000000002</v>
      </c>
      <c r="I732">
        <v>19841.259999999998</v>
      </c>
      <c r="J732" t="s">
        <v>14</v>
      </c>
      <c r="K732">
        <v>34.659999999999997</v>
      </c>
      <c r="L732" s="9">
        <v>2.5</v>
      </c>
      <c r="M732">
        <v>1</v>
      </c>
      <c r="N732">
        <v>0</v>
      </c>
    </row>
    <row r="733" spans="1:14" x14ac:dyDescent="0.2">
      <c r="A733" s="1">
        <v>45554</v>
      </c>
      <c r="B733">
        <v>4</v>
      </c>
      <c r="C733" t="s">
        <v>13</v>
      </c>
      <c r="D733" s="2">
        <v>0.45624999999999999</v>
      </c>
      <c r="E733">
        <v>19832.259999999998</v>
      </c>
      <c r="F733" s="2">
        <v>0.46111111111111114</v>
      </c>
      <c r="G733">
        <v>19846.150000000001</v>
      </c>
      <c r="H733">
        <v>19846.150000000001</v>
      </c>
      <c r="I733">
        <v>19797.560000000001</v>
      </c>
      <c r="J733" t="s">
        <v>15</v>
      </c>
      <c r="K733">
        <v>-13.88</v>
      </c>
      <c r="L733" s="9">
        <v>-1</v>
      </c>
      <c r="M733">
        <v>0</v>
      </c>
      <c r="N733">
        <v>0</v>
      </c>
    </row>
    <row r="734" spans="1:14" x14ac:dyDescent="0.2">
      <c r="A734" s="1">
        <v>45555</v>
      </c>
      <c r="B734">
        <v>5</v>
      </c>
      <c r="C734" t="s">
        <v>16</v>
      </c>
      <c r="D734" s="2">
        <v>0.40138888888888891</v>
      </c>
      <c r="E734">
        <v>19824.18</v>
      </c>
      <c r="F734" s="2">
        <v>0.40277777777777779</v>
      </c>
      <c r="G734">
        <v>19810.310000000001</v>
      </c>
      <c r="H734">
        <v>19810.310000000001</v>
      </c>
      <c r="I734">
        <v>19858.87</v>
      </c>
      <c r="J734" t="s">
        <v>15</v>
      </c>
      <c r="K734">
        <v>-13.88</v>
      </c>
      <c r="L734" s="9">
        <v>-1</v>
      </c>
      <c r="M734">
        <v>0</v>
      </c>
      <c r="N734">
        <v>2</v>
      </c>
    </row>
    <row r="735" spans="1:14" x14ac:dyDescent="0.2">
      <c r="A735" s="1">
        <v>45555</v>
      </c>
      <c r="B735">
        <v>5</v>
      </c>
      <c r="C735" t="s">
        <v>13</v>
      </c>
      <c r="D735" s="2">
        <v>0.42638888888888887</v>
      </c>
      <c r="E735">
        <v>19753.37</v>
      </c>
      <c r="F735" s="2">
        <v>0.42916666666666664</v>
      </c>
      <c r="G735">
        <v>19767.189999999999</v>
      </c>
      <c r="H735">
        <v>19767.189999999999</v>
      </c>
      <c r="I735">
        <v>19718.8</v>
      </c>
      <c r="J735" t="s">
        <v>15</v>
      </c>
      <c r="K735">
        <v>-13.83</v>
      </c>
      <c r="L735" s="9">
        <v>-1</v>
      </c>
      <c r="M735">
        <v>0</v>
      </c>
      <c r="N735">
        <v>3</v>
      </c>
    </row>
    <row r="736" spans="1:14" x14ac:dyDescent="0.2">
      <c r="A736" s="1">
        <v>45555</v>
      </c>
      <c r="B736">
        <v>5</v>
      </c>
      <c r="C736" t="s">
        <v>13</v>
      </c>
      <c r="D736" s="2">
        <v>0.45277777777777778</v>
      </c>
      <c r="E736">
        <v>19733.93</v>
      </c>
      <c r="F736" s="2">
        <v>0.45416666666666666</v>
      </c>
      <c r="G736">
        <v>19699.39</v>
      </c>
      <c r="H736">
        <v>19747.740000000002</v>
      </c>
      <c r="I736">
        <v>19699.39</v>
      </c>
      <c r="J736" t="s">
        <v>14</v>
      </c>
      <c r="K736">
        <v>34.53</v>
      </c>
      <c r="L736" s="9">
        <v>2.5</v>
      </c>
      <c r="M736">
        <v>1</v>
      </c>
      <c r="N736">
        <v>0</v>
      </c>
    </row>
    <row r="737" spans="1:14" x14ac:dyDescent="0.2">
      <c r="A737" s="1">
        <v>45560</v>
      </c>
      <c r="B737">
        <v>3</v>
      </c>
      <c r="C737" t="s">
        <v>16</v>
      </c>
      <c r="D737" s="2">
        <v>0.40138888888888891</v>
      </c>
      <c r="E737">
        <v>19967.95</v>
      </c>
      <c r="F737" s="2">
        <v>0.40347222222222223</v>
      </c>
      <c r="G737">
        <v>19953.97</v>
      </c>
      <c r="H737">
        <v>19953.97</v>
      </c>
      <c r="I737">
        <v>20002.89</v>
      </c>
      <c r="J737" t="s">
        <v>15</v>
      </c>
      <c r="K737">
        <v>-13.98</v>
      </c>
      <c r="L737" s="9">
        <v>-1</v>
      </c>
      <c r="M737">
        <v>0</v>
      </c>
      <c r="N737">
        <v>0</v>
      </c>
    </row>
    <row r="738" spans="1:14" x14ac:dyDescent="0.2">
      <c r="A738" s="1">
        <v>45560</v>
      </c>
      <c r="B738">
        <v>3</v>
      </c>
      <c r="C738" t="s">
        <v>16</v>
      </c>
      <c r="D738" s="2">
        <v>0.41944444444444445</v>
      </c>
      <c r="E738">
        <v>20008.87</v>
      </c>
      <c r="F738" s="2">
        <v>0.42708333333333331</v>
      </c>
      <c r="G738">
        <v>20043.89</v>
      </c>
      <c r="H738">
        <v>19994.87</v>
      </c>
      <c r="I738">
        <v>20043.89</v>
      </c>
      <c r="J738" t="s">
        <v>14</v>
      </c>
      <c r="K738">
        <v>35.020000000000003</v>
      </c>
      <c r="L738" s="9">
        <v>2.5</v>
      </c>
      <c r="M738">
        <v>1</v>
      </c>
      <c r="N738">
        <v>0</v>
      </c>
    </row>
    <row r="739" spans="1:14" x14ac:dyDescent="0.2">
      <c r="A739" s="1">
        <v>45561</v>
      </c>
      <c r="B739">
        <v>4</v>
      </c>
      <c r="C739" t="s">
        <v>13</v>
      </c>
      <c r="D739" s="2">
        <v>0.39861111111111114</v>
      </c>
      <c r="E739">
        <v>20247.23</v>
      </c>
      <c r="F739" s="2">
        <v>0.39930555555555558</v>
      </c>
      <c r="G739">
        <v>20211.8</v>
      </c>
      <c r="H739">
        <v>20261.41</v>
      </c>
      <c r="I739">
        <v>20211.8</v>
      </c>
      <c r="J739" t="s">
        <v>14</v>
      </c>
      <c r="K739">
        <v>35.43</v>
      </c>
      <c r="L739" s="9">
        <v>2.5</v>
      </c>
      <c r="M739">
        <v>1</v>
      </c>
      <c r="N739">
        <v>2</v>
      </c>
    </row>
    <row r="740" spans="1:14" x14ac:dyDescent="0.2">
      <c r="A740" s="1">
        <v>45562</v>
      </c>
      <c r="B740">
        <v>5</v>
      </c>
      <c r="C740" t="s">
        <v>13</v>
      </c>
      <c r="D740" s="2">
        <v>0.43055555555555558</v>
      </c>
      <c r="E740">
        <v>20083.79</v>
      </c>
      <c r="F740" s="2">
        <v>0.43125000000000002</v>
      </c>
      <c r="G740">
        <v>20097.849999999999</v>
      </c>
      <c r="H740">
        <v>20097.849999999999</v>
      </c>
      <c r="I740">
        <v>20048.650000000001</v>
      </c>
      <c r="J740" t="s">
        <v>15</v>
      </c>
      <c r="K740">
        <v>-14.06</v>
      </c>
      <c r="L740" s="9">
        <v>-1</v>
      </c>
      <c r="M740">
        <v>0</v>
      </c>
      <c r="N740">
        <v>0</v>
      </c>
    </row>
    <row r="741" spans="1:14" x14ac:dyDescent="0.2">
      <c r="A741" s="1">
        <v>45565</v>
      </c>
      <c r="B741">
        <v>1</v>
      </c>
      <c r="C741" t="s">
        <v>16</v>
      </c>
      <c r="D741" s="2">
        <v>0.4</v>
      </c>
      <c r="E741">
        <v>20012.03</v>
      </c>
      <c r="F741" s="2">
        <v>0.40069444444444446</v>
      </c>
      <c r="G741">
        <v>20047.05</v>
      </c>
      <c r="H741">
        <v>19998.02</v>
      </c>
      <c r="I741">
        <v>20047.05</v>
      </c>
      <c r="J741" t="s">
        <v>14</v>
      </c>
      <c r="K741">
        <v>35.020000000000003</v>
      </c>
      <c r="L741" s="9">
        <v>2.5</v>
      </c>
      <c r="M741">
        <v>1</v>
      </c>
      <c r="N741">
        <v>0</v>
      </c>
    </row>
    <row r="742" spans="1:14" x14ac:dyDescent="0.2">
      <c r="A742" s="1">
        <v>45565</v>
      </c>
      <c r="B742">
        <v>1</v>
      </c>
      <c r="C742" t="s">
        <v>13</v>
      </c>
      <c r="D742" s="2">
        <v>0.42291666666666666</v>
      </c>
      <c r="E742">
        <v>19975.169999999998</v>
      </c>
      <c r="F742" s="2">
        <v>0.42430555555555555</v>
      </c>
      <c r="G742">
        <v>19989.150000000001</v>
      </c>
      <c r="H742">
        <v>19989.150000000001</v>
      </c>
      <c r="I742">
        <v>19940.21</v>
      </c>
      <c r="J742" t="s">
        <v>15</v>
      </c>
      <c r="K742">
        <v>-13.98</v>
      </c>
      <c r="L742" s="9">
        <v>-1</v>
      </c>
      <c r="M742">
        <v>0</v>
      </c>
      <c r="N742">
        <v>0</v>
      </c>
    </row>
    <row r="743" spans="1:14" x14ac:dyDescent="0.2">
      <c r="A743" s="1">
        <v>45566</v>
      </c>
      <c r="B743">
        <v>2</v>
      </c>
      <c r="C743" t="s">
        <v>13</v>
      </c>
      <c r="D743" s="2">
        <v>0.40486111111111112</v>
      </c>
      <c r="E743">
        <v>19888.22</v>
      </c>
      <c r="F743" s="2">
        <v>0.40763888888888888</v>
      </c>
      <c r="G743">
        <v>19853.419999999998</v>
      </c>
      <c r="H743">
        <v>19902.14</v>
      </c>
      <c r="I743">
        <v>19853.419999999998</v>
      </c>
      <c r="J743" t="s">
        <v>14</v>
      </c>
      <c r="K743">
        <v>34.799999999999997</v>
      </c>
      <c r="L743" s="9">
        <v>2.5</v>
      </c>
      <c r="M743">
        <v>1</v>
      </c>
      <c r="N743">
        <v>0</v>
      </c>
    </row>
    <row r="744" spans="1:14" x14ac:dyDescent="0.2">
      <c r="A744" s="1">
        <v>45568</v>
      </c>
      <c r="B744">
        <v>4</v>
      </c>
      <c r="C744" t="s">
        <v>16</v>
      </c>
      <c r="D744" s="2">
        <v>0.40694444444444444</v>
      </c>
      <c r="E744">
        <v>19788.759999999998</v>
      </c>
      <c r="F744" s="2">
        <v>0.40763888888888888</v>
      </c>
      <c r="G744">
        <v>19774.900000000001</v>
      </c>
      <c r="H744">
        <v>19774.900000000001</v>
      </c>
      <c r="I744">
        <v>19823.39</v>
      </c>
      <c r="J744" t="s">
        <v>15</v>
      </c>
      <c r="K744">
        <v>-13.85</v>
      </c>
      <c r="L744" s="9">
        <v>-1</v>
      </c>
      <c r="M744">
        <v>0</v>
      </c>
      <c r="N744">
        <v>0</v>
      </c>
    </row>
    <row r="745" spans="1:14" x14ac:dyDescent="0.2">
      <c r="A745" s="1">
        <v>45568</v>
      </c>
      <c r="B745">
        <v>4</v>
      </c>
      <c r="C745" t="s">
        <v>13</v>
      </c>
      <c r="D745" s="2">
        <v>0.43611111111111112</v>
      </c>
      <c r="E745">
        <v>19773.009999999998</v>
      </c>
      <c r="F745" s="2">
        <v>0.4375</v>
      </c>
      <c r="G745">
        <v>19738.400000000001</v>
      </c>
      <c r="H745">
        <v>19786.849999999999</v>
      </c>
      <c r="I745">
        <v>19738.400000000001</v>
      </c>
      <c r="J745" t="s">
        <v>14</v>
      </c>
      <c r="K745">
        <v>34.6</v>
      </c>
      <c r="L745" s="9">
        <v>2.5</v>
      </c>
      <c r="M745">
        <v>1</v>
      </c>
      <c r="N745">
        <v>0</v>
      </c>
    </row>
    <row r="746" spans="1:14" x14ac:dyDescent="0.2">
      <c r="A746" s="1">
        <v>45568</v>
      </c>
      <c r="B746">
        <v>4</v>
      </c>
      <c r="C746" t="s">
        <v>13</v>
      </c>
      <c r="D746" s="2">
        <v>0.44791666666666669</v>
      </c>
      <c r="E746">
        <v>19745.66</v>
      </c>
      <c r="F746" s="2">
        <v>0.44861111111111113</v>
      </c>
      <c r="G746">
        <v>19759.48</v>
      </c>
      <c r="H746">
        <v>19759.48</v>
      </c>
      <c r="I746">
        <v>19711.099999999999</v>
      </c>
      <c r="J746" t="s">
        <v>15</v>
      </c>
      <c r="K746">
        <v>-13.82</v>
      </c>
      <c r="L746" s="9">
        <v>-1</v>
      </c>
      <c r="M746">
        <v>0</v>
      </c>
      <c r="N746">
        <v>0</v>
      </c>
    </row>
    <row r="747" spans="1:14" x14ac:dyDescent="0.2">
      <c r="A747" s="1">
        <v>45569</v>
      </c>
      <c r="B747">
        <v>5</v>
      </c>
      <c r="C747" t="s">
        <v>13</v>
      </c>
      <c r="D747" s="2">
        <v>0.39861111111111114</v>
      </c>
      <c r="E747">
        <v>20015.02</v>
      </c>
      <c r="F747" s="2">
        <v>0.39930555555555558</v>
      </c>
      <c r="G747">
        <v>20029.03</v>
      </c>
      <c r="H747">
        <v>20029.03</v>
      </c>
      <c r="I747">
        <v>19980</v>
      </c>
      <c r="J747" t="s">
        <v>15</v>
      </c>
      <c r="K747">
        <v>-14.01</v>
      </c>
      <c r="L747" s="9">
        <v>-1</v>
      </c>
      <c r="M747">
        <v>0</v>
      </c>
      <c r="N747">
        <v>2</v>
      </c>
    </row>
    <row r="748" spans="1:14" x14ac:dyDescent="0.2">
      <c r="A748" s="1">
        <v>45569</v>
      </c>
      <c r="B748">
        <v>5</v>
      </c>
      <c r="C748" t="s">
        <v>13</v>
      </c>
      <c r="D748" s="2">
        <v>0.4375</v>
      </c>
      <c r="E748">
        <v>19842.46</v>
      </c>
      <c r="F748" s="2">
        <v>0.43958333333333333</v>
      </c>
      <c r="G748">
        <v>19856.349999999999</v>
      </c>
      <c r="H748">
        <v>19856.349999999999</v>
      </c>
      <c r="I748">
        <v>19807.740000000002</v>
      </c>
      <c r="J748" t="s">
        <v>15</v>
      </c>
      <c r="K748">
        <v>-13.89</v>
      </c>
      <c r="L748" s="9">
        <v>-1</v>
      </c>
      <c r="M748">
        <v>0</v>
      </c>
      <c r="N748">
        <v>3</v>
      </c>
    </row>
    <row r="749" spans="1:14" x14ac:dyDescent="0.2">
      <c r="A749" s="1">
        <v>45569</v>
      </c>
      <c r="B749">
        <v>5</v>
      </c>
      <c r="C749" t="s">
        <v>16</v>
      </c>
      <c r="D749" s="2">
        <v>0.45416666666666666</v>
      </c>
      <c r="E749">
        <v>19903.759999999998</v>
      </c>
      <c r="F749" s="2">
        <v>0.45902777777777776</v>
      </c>
      <c r="G749">
        <v>19938.59</v>
      </c>
      <c r="H749">
        <v>19889.830000000002</v>
      </c>
      <c r="I749">
        <v>19938.59</v>
      </c>
      <c r="J749" t="s">
        <v>14</v>
      </c>
      <c r="K749">
        <v>34.83</v>
      </c>
      <c r="L749" s="9">
        <v>2.5</v>
      </c>
      <c r="M749">
        <v>1</v>
      </c>
      <c r="N749">
        <v>0</v>
      </c>
    </row>
    <row r="750" spans="1:14" x14ac:dyDescent="0.2">
      <c r="A750" s="1">
        <v>45572</v>
      </c>
      <c r="B750">
        <v>1</v>
      </c>
      <c r="C750" t="s">
        <v>16</v>
      </c>
      <c r="D750" s="2">
        <v>0.40208333333333335</v>
      </c>
      <c r="E750">
        <v>19953.3</v>
      </c>
      <c r="F750" s="2">
        <v>0.40347222222222223</v>
      </c>
      <c r="G750">
        <v>19939.330000000002</v>
      </c>
      <c r="H750">
        <v>19939.330000000002</v>
      </c>
      <c r="I750">
        <v>19988.22</v>
      </c>
      <c r="J750" t="s">
        <v>15</v>
      </c>
      <c r="K750">
        <v>-13.97</v>
      </c>
      <c r="L750" s="9">
        <v>-1</v>
      </c>
      <c r="M750">
        <v>0</v>
      </c>
      <c r="N750">
        <v>0</v>
      </c>
    </row>
    <row r="751" spans="1:14" x14ac:dyDescent="0.2">
      <c r="A751" s="1">
        <v>45572</v>
      </c>
      <c r="B751">
        <v>1</v>
      </c>
      <c r="C751" t="s">
        <v>13</v>
      </c>
      <c r="D751" s="2">
        <v>0.41319444444444442</v>
      </c>
      <c r="E751">
        <v>19912.79</v>
      </c>
      <c r="F751" s="2">
        <v>0.41388888888888886</v>
      </c>
      <c r="G751">
        <v>19926.73</v>
      </c>
      <c r="H751">
        <v>19926.73</v>
      </c>
      <c r="I751">
        <v>19877.939999999999</v>
      </c>
      <c r="J751" t="s">
        <v>15</v>
      </c>
      <c r="K751">
        <v>-13.94</v>
      </c>
      <c r="L751" s="9">
        <v>-1</v>
      </c>
      <c r="M751">
        <v>0</v>
      </c>
      <c r="N751">
        <v>2</v>
      </c>
    </row>
    <row r="752" spans="1:14" x14ac:dyDescent="0.2">
      <c r="A752" s="1">
        <v>45572</v>
      </c>
      <c r="B752">
        <v>1</v>
      </c>
      <c r="C752" t="s">
        <v>16</v>
      </c>
      <c r="D752" s="2">
        <v>0.43055555555555558</v>
      </c>
      <c r="E752">
        <v>19962.79</v>
      </c>
      <c r="F752" s="2">
        <v>0.44444444444444442</v>
      </c>
      <c r="G752">
        <v>19948.810000000001</v>
      </c>
      <c r="H752">
        <v>19948.810000000001</v>
      </c>
      <c r="I752">
        <v>19997.72</v>
      </c>
      <c r="J752" t="s">
        <v>15</v>
      </c>
      <c r="K752">
        <v>-13.97</v>
      </c>
      <c r="L752" s="9">
        <v>-1</v>
      </c>
      <c r="M752">
        <v>0</v>
      </c>
      <c r="N752">
        <v>3</v>
      </c>
    </row>
    <row r="753" spans="1:14" x14ac:dyDescent="0.2">
      <c r="A753" s="1">
        <v>45573</v>
      </c>
      <c r="B753">
        <v>2</v>
      </c>
      <c r="C753" t="s">
        <v>16</v>
      </c>
      <c r="D753" s="2">
        <v>0.4152777777777778</v>
      </c>
      <c r="E753">
        <v>19949.37</v>
      </c>
      <c r="F753" s="2">
        <v>0.41666666666666669</v>
      </c>
      <c r="G753">
        <v>19984.28</v>
      </c>
      <c r="H753">
        <v>19935.41</v>
      </c>
      <c r="I753">
        <v>19984.28</v>
      </c>
      <c r="J753" t="s">
        <v>14</v>
      </c>
      <c r="K753">
        <v>34.909999999999997</v>
      </c>
      <c r="L753" s="9">
        <v>2.5</v>
      </c>
      <c r="M753">
        <v>1</v>
      </c>
      <c r="N753">
        <v>0</v>
      </c>
    </row>
    <row r="754" spans="1:14" x14ac:dyDescent="0.2">
      <c r="A754" s="1">
        <v>45573</v>
      </c>
      <c r="B754">
        <v>2</v>
      </c>
      <c r="C754" t="s">
        <v>16</v>
      </c>
      <c r="D754" s="2">
        <v>0.44027777777777777</v>
      </c>
      <c r="E754">
        <v>20000.28</v>
      </c>
      <c r="F754" s="2">
        <v>0.44583333333333336</v>
      </c>
      <c r="G754">
        <v>20035.28</v>
      </c>
      <c r="H754">
        <v>19986.28</v>
      </c>
      <c r="I754">
        <v>20035.28</v>
      </c>
      <c r="J754" t="s">
        <v>14</v>
      </c>
      <c r="K754">
        <v>35</v>
      </c>
      <c r="L754" s="9">
        <v>2.5</v>
      </c>
      <c r="M754">
        <v>1</v>
      </c>
      <c r="N754">
        <v>2</v>
      </c>
    </row>
    <row r="755" spans="1:14" x14ac:dyDescent="0.2">
      <c r="A755" s="1">
        <v>45574</v>
      </c>
      <c r="B755">
        <v>3</v>
      </c>
      <c r="C755" t="s">
        <v>16</v>
      </c>
      <c r="D755" s="2">
        <v>0.42638888888888887</v>
      </c>
      <c r="E755">
        <v>20105.2</v>
      </c>
      <c r="F755" s="2">
        <v>0.43055555555555558</v>
      </c>
      <c r="G755">
        <v>20140.39</v>
      </c>
      <c r="H755">
        <v>20091.13</v>
      </c>
      <c r="I755">
        <v>20140.39</v>
      </c>
      <c r="J755" t="s">
        <v>14</v>
      </c>
      <c r="K755">
        <v>35.18</v>
      </c>
      <c r="L755" s="9">
        <v>2.5</v>
      </c>
      <c r="M755">
        <v>1</v>
      </c>
      <c r="N755">
        <v>3</v>
      </c>
    </row>
    <row r="756" spans="1:14" x14ac:dyDescent="0.2">
      <c r="A756" s="1">
        <v>45575</v>
      </c>
      <c r="B756">
        <v>4</v>
      </c>
      <c r="C756" t="s">
        <v>16</v>
      </c>
      <c r="D756" s="2">
        <v>0.42569444444444443</v>
      </c>
      <c r="E756">
        <v>20212.150000000001</v>
      </c>
      <c r="F756" s="2">
        <v>0.43055555555555558</v>
      </c>
      <c r="G756">
        <v>20198</v>
      </c>
      <c r="H756">
        <v>20198</v>
      </c>
      <c r="I756">
        <v>20247.52</v>
      </c>
      <c r="J756" t="s">
        <v>15</v>
      </c>
      <c r="K756">
        <v>-14.15</v>
      </c>
      <c r="L756" s="9">
        <v>-1</v>
      </c>
      <c r="M756">
        <v>0</v>
      </c>
      <c r="N756">
        <v>0</v>
      </c>
    </row>
    <row r="757" spans="1:14" x14ac:dyDescent="0.2">
      <c r="A757" s="1">
        <v>45576</v>
      </c>
      <c r="B757">
        <v>5</v>
      </c>
      <c r="C757" t="s">
        <v>13</v>
      </c>
      <c r="D757" s="2">
        <v>0.39652777777777776</v>
      </c>
      <c r="E757">
        <v>20160.82</v>
      </c>
      <c r="F757" s="2">
        <v>0.40625</v>
      </c>
      <c r="G757">
        <v>20174.93</v>
      </c>
      <c r="H757">
        <v>20174.93</v>
      </c>
      <c r="I757">
        <v>20125.54</v>
      </c>
      <c r="J757" t="s">
        <v>15</v>
      </c>
      <c r="K757">
        <v>-14.11</v>
      </c>
      <c r="L757" s="9">
        <v>-1</v>
      </c>
      <c r="M757">
        <v>0</v>
      </c>
      <c r="N757">
        <v>2</v>
      </c>
    </row>
    <row r="758" spans="1:14" x14ac:dyDescent="0.2">
      <c r="A758" s="1">
        <v>45576</v>
      </c>
      <c r="B758">
        <v>5</v>
      </c>
      <c r="C758" t="s">
        <v>16</v>
      </c>
      <c r="D758" s="2">
        <v>0.42638888888888887</v>
      </c>
      <c r="E758">
        <v>20244.53</v>
      </c>
      <c r="F758" s="2">
        <v>0.43402777777777779</v>
      </c>
      <c r="G758">
        <v>20279.95</v>
      </c>
      <c r="H758">
        <v>20230.36</v>
      </c>
      <c r="I758">
        <v>20279.95</v>
      </c>
      <c r="J758" t="s">
        <v>14</v>
      </c>
      <c r="K758">
        <v>35.43</v>
      </c>
      <c r="L758" s="9">
        <v>2.5</v>
      </c>
      <c r="M758">
        <v>1</v>
      </c>
      <c r="N758">
        <v>0</v>
      </c>
    </row>
    <row r="759" spans="1:14" x14ac:dyDescent="0.2">
      <c r="A759" s="1">
        <v>45579</v>
      </c>
      <c r="B759">
        <v>1</v>
      </c>
      <c r="C759" t="s">
        <v>16</v>
      </c>
      <c r="D759" s="2">
        <v>0.40208333333333335</v>
      </c>
      <c r="E759">
        <v>20407.71</v>
      </c>
      <c r="F759" s="2">
        <v>0.40694444444444444</v>
      </c>
      <c r="G759">
        <v>20443.419999999998</v>
      </c>
      <c r="H759">
        <v>20393.419999999998</v>
      </c>
      <c r="I759">
        <v>20443.419999999998</v>
      </c>
      <c r="J759" t="s">
        <v>14</v>
      </c>
      <c r="K759">
        <v>35.71</v>
      </c>
      <c r="L759" s="9">
        <v>2.5</v>
      </c>
      <c r="M759">
        <v>1</v>
      </c>
      <c r="N759">
        <v>2</v>
      </c>
    </row>
    <row r="760" spans="1:14" x14ac:dyDescent="0.2">
      <c r="A760" s="1">
        <v>45579</v>
      </c>
      <c r="B760">
        <v>1</v>
      </c>
      <c r="C760" t="s">
        <v>13</v>
      </c>
      <c r="D760" s="2">
        <v>0.45416666666666666</v>
      </c>
      <c r="E760">
        <v>20415.89</v>
      </c>
      <c r="F760" s="2">
        <v>0.45763888888888887</v>
      </c>
      <c r="G760">
        <v>20380.16</v>
      </c>
      <c r="H760">
        <v>20430.18</v>
      </c>
      <c r="I760">
        <v>20380.16</v>
      </c>
      <c r="J760" t="s">
        <v>14</v>
      </c>
      <c r="K760">
        <v>35.729999999999997</v>
      </c>
      <c r="L760" s="9">
        <v>2.5</v>
      </c>
      <c r="M760">
        <v>1</v>
      </c>
      <c r="N760">
        <v>3</v>
      </c>
    </row>
    <row r="761" spans="1:14" x14ac:dyDescent="0.2">
      <c r="A761" s="1">
        <v>45580</v>
      </c>
      <c r="B761">
        <v>2</v>
      </c>
      <c r="C761" t="s">
        <v>13</v>
      </c>
      <c r="D761" s="2">
        <v>0.40416666666666667</v>
      </c>
      <c r="E761">
        <v>20450.919999999998</v>
      </c>
      <c r="F761" s="2">
        <v>0.41319444444444442</v>
      </c>
      <c r="G761">
        <v>20465.240000000002</v>
      </c>
      <c r="H761">
        <v>20465.240000000002</v>
      </c>
      <c r="I761">
        <v>20415.13</v>
      </c>
      <c r="J761" t="s">
        <v>15</v>
      </c>
      <c r="K761">
        <v>-14.32</v>
      </c>
      <c r="L761" s="9">
        <v>-1</v>
      </c>
      <c r="M761">
        <v>0</v>
      </c>
      <c r="N761">
        <v>0</v>
      </c>
    </row>
    <row r="762" spans="1:14" x14ac:dyDescent="0.2">
      <c r="A762" s="1">
        <v>45580</v>
      </c>
      <c r="B762">
        <v>2</v>
      </c>
      <c r="C762" t="s">
        <v>13</v>
      </c>
      <c r="D762" s="2">
        <v>0.42986111111111114</v>
      </c>
      <c r="E762">
        <v>20397.59</v>
      </c>
      <c r="F762" s="2">
        <v>0.43611111111111112</v>
      </c>
      <c r="G762">
        <v>20361.89</v>
      </c>
      <c r="H762">
        <v>20411.86</v>
      </c>
      <c r="I762">
        <v>20361.89</v>
      </c>
      <c r="J762" t="s">
        <v>14</v>
      </c>
      <c r="K762">
        <v>35.700000000000003</v>
      </c>
      <c r="L762" s="9">
        <v>2.5</v>
      </c>
      <c r="M762">
        <v>1</v>
      </c>
      <c r="N762">
        <v>0</v>
      </c>
    </row>
    <row r="763" spans="1:14" x14ac:dyDescent="0.2">
      <c r="A763" s="1">
        <v>45581</v>
      </c>
      <c r="B763">
        <v>3</v>
      </c>
      <c r="C763" t="s">
        <v>13</v>
      </c>
      <c r="D763" s="2">
        <v>0.39861111111111114</v>
      </c>
      <c r="E763">
        <v>20149.45</v>
      </c>
      <c r="F763" s="2">
        <v>0.39930555555555558</v>
      </c>
      <c r="G763">
        <v>20114.189999999999</v>
      </c>
      <c r="H763">
        <v>20163.560000000001</v>
      </c>
      <c r="I763">
        <v>20114.189999999999</v>
      </c>
      <c r="J763" t="s">
        <v>14</v>
      </c>
      <c r="K763">
        <v>35.26</v>
      </c>
      <c r="L763" s="9">
        <v>2.5</v>
      </c>
      <c r="M763">
        <v>1</v>
      </c>
      <c r="N763">
        <v>2</v>
      </c>
    </row>
    <row r="764" spans="1:14" x14ac:dyDescent="0.2">
      <c r="A764" s="1">
        <v>45581</v>
      </c>
      <c r="B764">
        <v>3</v>
      </c>
      <c r="C764" t="s">
        <v>16</v>
      </c>
      <c r="D764" s="2">
        <v>0.43541666666666667</v>
      </c>
      <c r="E764">
        <v>20153.53</v>
      </c>
      <c r="F764" s="2">
        <v>0.44027777777777777</v>
      </c>
      <c r="G764">
        <v>20139.419999999998</v>
      </c>
      <c r="H764">
        <v>20139.419999999998</v>
      </c>
      <c r="I764">
        <v>20188.8</v>
      </c>
      <c r="J764" t="s">
        <v>15</v>
      </c>
      <c r="K764">
        <v>-14.11</v>
      </c>
      <c r="L764" s="9">
        <v>-1</v>
      </c>
      <c r="M764">
        <v>0</v>
      </c>
      <c r="N764">
        <v>0</v>
      </c>
    </row>
    <row r="765" spans="1:14" x14ac:dyDescent="0.2">
      <c r="A765" s="1">
        <v>45582</v>
      </c>
      <c r="B765">
        <v>4</v>
      </c>
      <c r="C765" t="s">
        <v>13</v>
      </c>
      <c r="D765" s="2">
        <v>0.40208333333333335</v>
      </c>
      <c r="E765">
        <v>20267.55</v>
      </c>
      <c r="F765" s="2">
        <v>0.40277777777777779</v>
      </c>
      <c r="G765">
        <v>20281.740000000002</v>
      </c>
      <c r="H765">
        <v>20281.740000000002</v>
      </c>
      <c r="I765">
        <v>20232.09</v>
      </c>
      <c r="J765" t="s">
        <v>15</v>
      </c>
      <c r="K765">
        <v>-14.19</v>
      </c>
      <c r="L765" s="9">
        <v>-1</v>
      </c>
      <c r="M765">
        <v>0</v>
      </c>
      <c r="N765">
        <v>2</v>
      </c>
    </row>
    <row r="766" spans="1:14" x14ac:dyDescent="0.2">
      <c r="A766" s="1">
        <v>45582</v>
      </c>
      <c r="B766">
        <v>4</v>
      </c>
      <c r="C766" t="s">
        <v>13</v>
      </c>
      <c r="D766" s="2">
        <v>0.41944444444444445</v>
      </c>
      <c r="E766">
        <v>20233.400000000001</v>
      </c>
      <c r="F766" s="2">
        <v>0.4236111111111111</v>
      </c>
      <c r="G766">
        <v>20197.990000000002</v>
      </c>
      <c r="H766">
        <v>20247.57</v>
      </c>
      <c r="I766">
        <v>20197.990000000002</v>
      </c>
      <c r="J766" t="s">
        <v>14</v>
      </c>
      <c r="K766">
        <v>35.409999999999997</v>
      </c>
      <c r="L766" s="9">
        <v>2.5</v>
      </c>
      <c r="M766">
        <v>1</v>
      </c>
      <c r="N766">
        <v>0</v>
      </c>
    </row>
    <row r="767" spans="1:14" x14ac:dyDescent="0.2">
      <c r="A767" s="1">
        <v>45582</v>
      </c>
      <c r="B767">
        <v>4</v>
      </c>
      <c r="C767" t="s">
        <v>13</v>
      </c>
      <c r="D767" s="2">
        <v>0.45347222222222222</v>
      </c>
      <c r="E767">
        <v>20219.330000000002</v>
      </c>
      <c r="F767" s="2">
        <v>0.45416666666666666</v>
      </c>
      <c r="G767">
        <v>20233.48</v>
      </c>
      <c r="H767">
        <v>20233.48</v>
      </c>
      <c r="I767">
        <v>20183.939999999999</v>
      </c>
      <c r="J767" t="s">
        <v>15</v>
      </c>
      <c r="K767">
        <v>-14.15</v>
      </c>
      <c r="L767" s="9">
        <v>-1</v>
      </c>
      <c r="M767">
        <v>0</v>
      </c>
      <c r="N767">
        <v>0</v>
      </c>
    </row>
    <row r="768" spans="1:14" x14ac:dyDescent="0.2">
      <c r="A768" s="1">
        <v>45583</v>
      </c>
      <c r="B768">
        <v>5</v>
      </c>
      <c r="C768" t="s">
        <v>13</v>
      </c>
      <c r="D768" s="2">
        <v>0.39930555555555558</v>
      </c>
      <c r="E768">
        <v>20285.7</v>
      </c>
      <c r="F768" s="2">
        <v>0.40138888888888891</v>
      </c>
      <c r="G768">
        <v>20299.900000000001</v>
      </c>
      <c r="H768">
        <v>20299.900000000001</v>
      </c>
      <c r="I768">
        <v>20250.2</v>
      </c>
      <c r="J768" t="s">
        <v>15</v>
      </c>
      <c r="K768">
        <v>-14.2</v>
      </c>
      <c r="L768" s="9">
        <v>-1</v>
      </c>
      <c r="M768">
        <v>0</v>
      </c>
      <c r="N768">
        <v>2</v>
      </c>
    </row>
    <row r="769" spans="1:14" x14ac:dyDescent="0.2">
      <c r="A769" s="1">
        <v>45583</v>
      </c>
      <c r="B769">
        <v>5</v>
      </c>
      <c r="C769" t="s">
        <v>16</v>
      </c>
      <c r="D769" s="2">
        <v>0.4201388888888889</v>
      </c>
      <c r="E769">
        <v>20322.990000000002</v>
      </c>
      <c r="F769" s="2">
        <v>0.4236111111111111</v>
      </c>
      <c r="G769">
        <v>20358.560000000001</v>
      </c>
      <c r="H769">
        <v>20308.77</v>
      </c>
      <c r="I769">
        <v>20358.560000000001</v>
      </c>
      <c r="J769" t="s">
        <v>14</v>
      </c>
      <c r="K769">
        <v>35.57</v>
      </c>
      <c r="L769" s="9">
        <v>2.5</v>
      </c>
      <c r="M769">
        <v>1</v>
      </c>
      <c r="N769">
        <v>0</v>
      </c>
    </row>
    <row r="770" spans="1:14" x14ac:dyDescent="0.2">
      <c r="A770" s="1">
        <v>45586</v>
      </c>
      <c r="B770">
        <v>1</v>
      </c>
      <c r="C770" t="s">
        <v>16</v>
      </c>
      <c r="D770" s="2">
        <v>0.39861111111111114</v>
      </c>
      <c r="E770">
        <v>20278.91</v>
      </c>
      <c r="F770" s="2">
        <v>0.4</v>
      </c>
      <c r="G770">
        <v>20314.39</v>
      </c>
      <c r="H770">
        <v>20264.71</v>
      </c>
      <c r="I770">
        <v>20314.39</v>
      </c>
      <c r="J770" t="s">
        <v>14</v>
      </c>
      <c r="K770">
        <v>35.49</v>
      </c>
      <c r="L770" s="9">
        <v>2.5</v>
      </c>
      <c r="M770">
        <v>1</v>
      </c>
      <c r="N770">
        <v>2</v>
      </c>
    </row>
    <row r="771" spans="1:14" x14ac:dyDescent="0.2">
      <c r="A771" s="1">
        <v>45586</v>
      </c>
      <c r="B771">
        <v>1</v>
      </c>
      <c r="C771" t="s">
        <v>13</v>
      </c>
      <c r="D771" s="2">
        <v>0.44930555555555557</v>
      </c>
      <c r="E771">
        <v>20262.84</v>
      </c>
      <c r="F771" s="2">
        <v>0.45347222222222222</v>
      </c>
      <c r="G771">
        <v>20277.02</v>
      </c>
      <c r="H771">
        <v>20277.02</v>
      </c>
      <c r="I771">
        <v>20227.38</v>
      </c>
      <c r="J771" t="s">
        <v>15</v>
      </c>
      <c r="K771">
        <v>-14.18</v>
      </c>
      <c r="L771" s="9">
        <v>-1</v>
      </c>
      <c r="M771">
        <v>0</v>
      </c>
      <c r="N771">
        <v>0</v>
      </c>
    </row>
    <row r="772" spans="1:14" x14ac:dyDescent="0.2">
      <c r="A772" s="1">
        <v>45587</v>
      </c>
      <c r="B772">
        <v>2</v>
      </c>
      <c r="C772" t="s">
        <v>16</v>
      </c>
      <c r="D772" s="2">
        <v>0.40277777777777779</v>
      </c>
      <c r="E772">
        <v>20263.5</v>
      </c>
      <c r="F772" s="2">
        <v>0.40416666666666667</v>
      </c>
      <c r="G772">
        <v>20298.96</v>
      </c>
      <c r="H772">
        <v>20249.32</v>
      </c>
      <c r="I772">
        <v>20298.96</v>
      </c>
      <c r="J772" t="s">
        <v>14</v>
      </c>
      <c r="K772">
        <v>35.46</v>
      </c>
      <c r="L772" s="9">
        <v>2.5</v>
      </c>
      <c r="M772">
        <v>1</v>
      </c>
      <c r="N772">
        <v>0</v>
      </c>
    </row>
    <row r="773" spans="1:14" x14ac:dyDescent="0.2">
      <c r="A773" s="1">
        <v>45587</v>
      </c>
      <c r="B773">
        <v>2</v>
      </c>
      <c r="C773" t="s">
        <v>13</v>
      </c>
      <c r="D773" s="2">
        <v>0.45069444444444445</v>
      </c>
      <c r="E773">
        <v>20306.73</v>
      </c>
      <c r="F773" s="2">
        <v>0.45277777777777778</v>
      </c>
      <c r="G773">
        <v>20320.939999999999</v>
      </c>
      <c r="H773">
        <v>20320.939999999999</v>
      </c>
      <c r="I773">
        <v>20271.189999999999</v>
      </c>
      <c r="J773" t="s">
        <v>15</v>
      </c>
      <c r="K773">
        <v>-14.21</v>
      </c>
      <c r="L773" s="9">
        <v>-1</v>
      </c>
      <c r="M773">
        <v>0</v>
      </c>
      <c r="N773">
        <v>0</v>
      </c>
    </row>
    <row r="774" spans="1:14" x14ac:dyDescent="0.2">
      <c r="A774" s="1">
        <v>45588</v>
      </c>
      <c r="B774">
        <v>3</v>
      </c>
      <c r="C774" t="s">
        <v>13</v>
      </c>
      <c r="D774" s="2">
        <v>0.42222222222222222</v>
      </c>
      <c r="E774">
        <v>20223.5</v>
      </c>
      <c r="F774" s="2">
        <v>0.42430555555555555</v>
      </c>
      <c r="G774">
        <v>20237.66</v>
      </c>
      <c r="H774">
        <v>20237.66</v>
      </c>
      <c r="I774">
        <v>20188.11</v>
      </c>
      <c r="J774" t="s">
        <v>15</v>
      </c>
      <c r="K774">
        <v>-14.16</v>
      </c>
      <c r="L774" s="9">
        <v>-1</v>
      </c>
      <c r="M774">
        <v>0</v>
      </c>
      <c r="N774">
        <v>2</v>
      </c>
    </row>
    <row r="775" spans="1:14" x14ac:dyDescent="0.2">
      <c r="A775" s="1">
        <v>45588</v>
      </c>
      <c r="B775">
        <v>3</v>
      </c>
      <c r="C775" t="s">
        <v>16</v>
      </c>
      <c r="D775" s="2">
        <v>0.45</v>
      </c>
      <c r="E775">
        <v>20291.7</v>
      </c>
      <c r="F775" s="2">
        <v>0.45208333333333334</v>
      </c>
      <c r="G775">
        <v>20277.490000000002</v>
      </c>
      <c r="H775">
        <v>20277.490000000002</v>
      </c>
      <c r="I775">
        <v>20327.21</v>
      </c>
      <c r="J775" t="s">
        <v>15</v>
      </c>
      <c r="K775">
        <v>-14.2</v>
      </c>
      <c r="L775" s="9">
        <v>-1</v>
      </c>
      <c r="M775">
        <v>0</v>
      </c>
      <c r="N775">
        <v>3</v>
      </c>
    </row>
    <row r="776" spans="1:14" x14ac:dyDescent="0.2">
      <c r="A776" s="1">
        <v>45590</v>
      </c>
      <c r="B776">
        <v>5</v>
      </c>
      <c r="C776" t="s">
        <v>16</v>
      </c>
      <c r="D776" s="2">
        <v>0.40277777777777779</v>
      </c>
      <c r="E776">
        <v>20409.64</v>
      </c>
      <c r="F776" s="2">
        <v>0.40486111111111112</v>
      </c>
      <c r="G776">
        <v>20445.349999999999</v>
      </c>
      <c r="H776">
        <v>20395.349999999999</v>
      </c>
      <c r="I776">
        <v>20445.349999999999</v>
      </c>
      <c r="J776" t="s">
        <v>14</v>
      </c>
      <c r="K776">
        <v>35.72</v>
      </c>
      <c r="L776" s="9">
        <v>2.5</v>
      </c>
      <c r="M776">
        <v>1</v>
      </c>
      <c r="N776">
        <v>0</v>
      </c>
    </row>
    <row r="777" spans="1:14" x14ac:dyDescent="0.2">
      <c r="A777" s="1">
        <v>45590</v>
      </c>
      <c r="B777">
        <v>5</v>
      </c>
      <c r="C777" t="s">
        <v>16</v>
      </c>
      <c r="D777" s="2">
        <v>0.43888888888888888</v>
      </c>
      <c r="E777">
        <v>20551.12</v>
      </c>
      <c r="F777" s="2">
        <v>0.44166666666666665</v>
      </c>
      <c r="G777">
        <v>20536.73</v>
      </c>
      <c r="H777">
        <v>20536.73</v>
      </c>
      <c r="I777">
        <v>20587.080000000002</v>
      </c>
      <c r="J777" t="s">
        <v>15</v>
      </c>
      <c r="K777">
        <v>-14.39</v>
      </c>
      <c r="L777" s="9">
        <v>-1</v>
      </c>
      <c r="M777">
        <v>0</v>
      </c>
      <c r="N777">
        <v>0</v>
      </c>
    </row>
    <row r="778" spans="1:14" x14ac:dyDescent="0.2">
      <c r="A778" s="1">
        <v>45593</v>
      </c>
      <c r="B778">
        <v>1</v>
      </c>
      <c r="C778" t="s">
        <v>13</v>
      </c>
      <c r="D778" s="2">
        <v>0.39583333333333331</v>
      </c>
      <c r="E778">
        <v>20477.84</v>
      </c>
      <c r="F778" s="2">
        <v>0.39652777777777776</v>
      </c>
      <c r="G778">
        <v>20442</v>
      </c>
      <c r="H778">
        <v>20492.169999999998</v>
      </c>
      <c r="I778">
        <v>20442</v>
      </c>
      <c r="J778" t="s">
        <v>14</v>
      </c>
      <c r="K778">
        <v>35.840000000000003</v>
      </c>
      <c r="L778" s="9">
        <v>2.5</v>
      </c>
      <c r="M778">
        <v>1</v>
      </c>
      <c r="N778">
        <v>0</v>
      </c>
    </row>
    <row r="779" spans="1:14" x14ac:dyDescent="0.2">
      <c r="A779" s="1">
        <v>45593</v>
      </c>
      <c r="B779">
        <v>1</v>
      </c>
      <c r="C779" t="s">
        <v>16</v>
      </c>
      <c r="D779" s="2">
        <v>0.43333333333333335</v>
      </c>
      <c r="E779">
        <v>20445.669999999998</v>
      </c>
      <c r="F779" s="2">
        <v>0.44027777777777777</v>
      </c>
      <c r="G779">
        <v>20431.349999999999</v>
      </c>
      <c r="H779">
        <v>20431.349999999999</v>
      </c>
      <c r="I779">
        <v>20481.45</v>
      </c>
      <c r="J779" t="s">
        <v>15</v>
      </c>
      <c r="K779">
        <v>-14.31</v>
      </c>
      <c r="L779" s="9">
        <v>-1</v>
      </c>
      <c r="M779">
        <v>0</v>
      </c>
      <c r="N779">
        <v>0</v>
      </c>
    </row>
    <row r="780" spans="1:14" x14ac:dyDescent="0.2">
      <c r="A780" s="1">
        <v>45596</v>
      </c>
      <c r="B780">
        <v>4</v>
      </c>
      <c r="C780" t="s">
        <v>13</v>
      </c>
      <c r="D780" s="2">
        <v>0.39930555555555558</v>
      </c>
      <c r="E780">
        <v>20159.03</v>
      </c>
      <c r="F780" s="2">
        <v>0.40625</v>
      </c>
      <c r="G780">
        <v>20123.759999999998</v>
      </c>
      <c r="H780">
        <v>20173.150000000001</v>
      </c>
      <c r="I780">
        <v>20123.759999999998</v>
      </c>
      <c r="J780" t="s">
        <v>14</v>
      </c>
      <c r="K780">
        <v>35.28</v>
      </c>
      <c r="L780" s="9">
        <v>2.5</v>
      </c>
      <c r="M780">
        <v>1</v>
      </c>
      <c r="N780">
        <v>0</v>
      </c>
    </row>
    <row r="781" spans="1:14" x14ac:dyDescent="0.2">
      <c r="A781" s="1">
        <v>45596</v>
      </c>
      <c r="B781">
        <v>4</v>
      </c>
      <c r="C781" t="s">
        <v>13</v>
      </c>
      <c r="D781" s="2">
        <v>0.45277777777777778</v>
      </c>
      <c r="E781">
        <v>19955.080000000002</v>
      </c>
      <c r="F781" s="2">
        <v>0.46319444444444446</v>
      </c>
      <c r="G781">
        <v>19969.05</v>
      </c>
      <c r="H781">
        <v>19969.05</v>
      </c>
      <c r="I781">
        <v>19920.16</v>
      </c>
      <c r="J781" t="s">
        <v>15</v>
      </c>
      <c r="K781">
        <v>-13.97</v>
      </c>
      <c r="L781" s="9">
        <v>-1</v>
      </c>
      <c r="M781">
        <v>0</v>
      </c>
      <c r="N781">
        <v>0</v>
      </c>
    </row>
    <row r="782" spans="1:14" x14ac:dyDescent="0.2">
      <c r="A782" s="1">
        <v>45600</v>
      </c>
      <c r="B782">
        <v>1</v>
      </c>
      <c r="C782" t="s">
        <v>13</v>
      </c>
      <c r="D782" s="2">
        <v>0.40208333333333335</v>
      </c>
      <c r="E782">
        <v>19920.080000000002</v>
      </c>
      <c r="F782" s="2">
        <v>0.40277777777777779</v>
      </c>
      <c r="G782">
        <v>19934.03</v>
      </c>
      <c r="H782">
        <v>19934.03</v>
      </c>
      <c r="I782">
        <v>19885.22</v>
      </c>
      <c r="J782" t="s">
        <v>15</v>
      </c>
      <c r="K782">
        <v>-13.94</v>
      </c>
      <c r="L782" s="9">
        <v>-1</v>
      </c>
      <c r="M782">
        <v>0</v>
      </c>
      <c r="N782">
        <v>2</v>
      </c>
    </row>
    <row r="783" spans="1:14" x14ac:dyDescent="0.2">
      <c r="A783" s="1">
        <v>45600</v>
      </c>
      <c r="B783">
        <v>1</v>
      </c>
      <c r="C783" t="s">
        <v>16</v>
      </c>
      <c r="D783" s="2">
        <v>0.41805555555555557</v>
      </c>
      <c r="E783">
        <v>20013.22</v>
      </c>
      <c r="F783" s="2">
        <v>0.43055555555555558</v>
      </c>
      <c r="G783">
        <v>20048.25</v>
      </c>
      <c r="H783">
        <v>19999.21</v>
      </c>
      <c r="I783">
        <v>20048.25</v>
      </c>
      <c r="J783" t="s">
        <v>14</v>
      </c>
      <c r="K783">
        <v>35.020000000000003</v>
      </c>
      <c r="L783" s="9">
        <v>2.5</v>
      </c>
      <c r="M783">
        <v>1</v>
      </c>
      <c r="N783">
        <v>0</v>
      </c>
    </row>
    <row r="784" spans="1:14" x14ac:dyDescent="0.2">
      <c r="A784" s="1">
        <v>45600</v>
      </c>
      <c r="B784">
        <v>1</v>
      </c>
      <c r="C784" t="s">
        <v>16</v>
      </c>
      <c r="D784" s="2">
        <v>0.45347222222222222</v>
      </c>
      <c r="E784">
        <v>20080.41</v>
      </c>
      <c r="F784" s="2">
        <v>0.45763888888888887</v>
      </c>
      <c r="G784">
        <v>20066.36</v>
      </c>
      <c r="H784">
        <v>20066.36</v>
      </c>
      <c r="I784">
        <v>20115.55</v>
      </c>
      <c r="J784" t="s">
        <v>15</v>
      </c>
      <c r="K784">
        <v>-14.06</v>
      </c>
      <c r="L784" s="9">
        <v>-1</v>
      </c>
      <c r="M784">
        <v>0</v>
      </c>
      <c r="N784">
        <v>0</v>
      </c>
    </row>
    <row r="785" spans="1:14" x14ac:dyDescent="0.2">
      <c r="A785" s="1">
        <v>45601</v>
      </c>
      <c r="B785">
        <v>2</v>
      </c>
      <c r="C785" t="s">
        <v>16</v>
      </c>
      <c r="D785" s="2">
        <v>0.39583333333333331</v>
      </c>
      <c r="E785">
        <v>20038.490000000002</v>
      </c>
      <c r="F785" s="2">
        <v>0.39652777777777776</v>
      </c>
      <c r="G785">
        <v>20073.55</v>
      </c>
      <c r="H785">
        <v>20024.46</v>
      </c>
      <c r="I785">
        <v>20073.55</v>
      </c>
      <c r="J785" t="s">
        <v>14</v>
      </c>
      <c r="K785">
        <v>35.07</v>
      </c>
      <c r="L785" s="9">
        <v>2.5</v>
      </c>
      <c r="M785">
        <v>1</v>
      </c>
      <c r="N785">
        <v>0</v>
      </c>
    </row>
    <row r="786" spans="1:14" x14ac:dyDescent="0.2">
      <c r="A786" s="1">
        <v>45602</v>
      </c>
      <c r="B786">
        <v>3</v>
      </c>
      <c r="C786" t="s">
        <v>16</v>
      </c>
      <c r="D786" s="2">
        <v>0.40416666666666667</v>
      </c>
      <c r="E786">
        <v>20665.23</v>
      </c>
      <c r="F786" s="2">
        <v>0.40486111111111112</v>
      </c>
      <c r="G786">
        <v>20650.77</v>
      </c>
      <c r="H786">
        <v>20650.77</v>
      </c>
      <c r="I786">
        <v>20701.400000000001</v>
      </c>
      <c r="J786" t="s">
        <v>15</v>
      </c>
      <c r="K786">
        <v>-14.47</v>
      </c>
      <c r="L786" s="9">
        <v>-1</v>
      </c>
      <c r="M786">
        <v>0</v>
      </c>
      <c r="N786">
        <v>0</v>
      </c>
    </row>
    <row r="787" spans="1:14" x14ac:dyDescent="0.2">
      <c r="A787" s="1">
        <v>45602</v>
      </c>
      <c r="B787">
        <v>3</v>
      </c>
      <c r="C787" t="s">
        <v>16</v>
      </c>
      <c r="D787" s="2">
        <v>0.43125000000000002</v>
      </c>
      <c r="E787">
        <v>20657.04</v>
      </c>
      <c r="F787" s="2">
        <v>0.43819444444444444</v>
      </c>
      <c r="G787">
        <v>20693.189999999999</v>
      </c>
      <c r="H787">
        <v>20642.580000000002</v>
      </c>
      <c r="I787">
        <v>20693.189999999999</v>
      </c>
      <c r="J787" t="s">
        <v>14</v>
      </c>
      <c r="K787">
        <v>36.15</v>
      </c>
      <c r="L787" s="9">
        <v>2.5</v>
      </c>
      <c r="M787">
        <v>1</v>
      </c>
      <c r="N787">
        <v>0</v>
      </c>
    </row>
    <row r="788" spans="1:14" x14ac:dyDescent="0.2">
      <c r="A788" s="1">
        <v>45602</v>
      </c>
      <c r="B788">
        <v>3</v>
      </c>
      <c r="C788" t="s">
        <v>13</v>
      </c>
      <c r="D788" s="2">
        <v>0.4548611111111111</v>
      </c>
      <c r="E788">
        <v>20612.11</v>
      </c>
      <c r="F788" s="2">
        <v>0.45694444444444443</v>
      </c>
      <c r="G788">
        <v>20626.54</v>
      </c>
      <c r="H788">
        <v>20626.54</v>
      </c>
      <c r="I788">
        <v>20576.04</v>
      </c>
      <c r="J788" t="s">
        <v>15</v>
      </c>
      <c r="K788">
        <v>-14.43</v>
      </c>
      <c r="L788" s="9">
        <v>-1</v>
      </c>
      <c r="M788">
        <v>0</v>
      </c>
      <c r="N788">
        <v>0</v>
      </c>
    </row>
    <row r="789" spans="1:14" x14ac:dyDescent="0.2">
      <c r="A789" s="1">
        <v>45604</v>
      </c>
      <c r="B789">
        <v>5</v>
      </c>
      <c r="C789" t="s">
        <v>16</v>
      </c>
      <c r="D789" s="2">
        <v>0.39583333333333331</v>
      </c>
      <c r="E789">
        <v>21075.62</v>
      </c>
      <c r="F789" s="2">
        <v>0.39791666666666664</v>
      </c>
      <c r="G789">
        <v>21112.51</v>
      </c>
      <c r="H789">
        <v>21060.87</v>
      </c>
      <c r="I789">
        <v>21112.51</v>
      </c>
      <c r="J789" t="s">
        <v>14</v>
      </c>
      <c r="K789">
        <v>36.880000000000003</v>
      </c>
      <c r="L789" s="9">
        <v>2.5</v>
      </c>
      <c r="M789">
        <v>1</v>
      </c>
      <c r="N789">
        <v>0</v>
      </c>
    </row>
    <row r="790" spans="1:14" x14ac:dyDescent="0.2">
      <c r="A790" s="1">
        <v>45604</v>
      </c>
      <c r="B790">
        <v>5</v>
      </c>
      <c r="C790" t="s">
        <v>13</v>
      </c>
      <c r="D790" s="2">
        <v>0.42569444444444443</v>
      </c>
      <c r="E790">
        <v>21065.97</v>
      </c>
      <c r="F790" s="2">
        <v>0.42916666666666664</v>
      </c>
      <c r="G790">
        <v>21080.71</v>
      </c>
      <c r="H790">
        <v>21080.71</v>
      </c>
      <c r="I790">
        <v>21029.1</v>
      </c>
      <c r="J790" t="s">
        <v>15</v>
      </c>
      <c r="K790">
        <v>-14.75</v>
      </c>
      <c r="L790" s="9">
        <v>-1</v>
      </c>
      <c r="M790">
        <v>0</v>
      </c>
      <c r="N790">
        <v>0</v>
      </c>
    </row>
    <row r="791" spans="1:14" x14ac:dyDescent="0.2">
      <c r="A791" s="1">
        <v>45604</v>
      </c>
      <c r="B791">
        <v>5</v>
      </c>
      <c r="C791" t="s">
        <v>16</v>
      </c>
      <c r="D791" s="2">
        <v>0.44097222222222221</v>
      </c>
      <c r="E791">
        <v>21090.240000000002</v>
      </c>
      <c r="F791" s="2">
        <v>0.44166666666666665</v>
      </c>
      <c r="G791">
        <v>21075.48</v>
      </c>
      <c r="H791">
        <v>21075.48</v>
      </c>
      <c r="I791">
        <v>21127.15</v>
      </c>
      <c r="J791" t="s">
        <v>15</v>
      </c>
      <c r="K791">
        <v>-14.76</v>
      </c>
      <c r="L791" s="9">
        <v>-1</v>
      </c>
      <c r="M791">
        <v>0</v>
      </c>
      <c r="N791">
        <v>2</v>
      </c>
    </row>
    <row r="792" spans="1:14" x14ac:dyDescent="0.2">
      <c r="A792" s="1">
        <v>45607</v>
      </c>
      <c r="B792">
        <v>1</v>
      </c>
      <c r="C792" t="s">
        <v>13</v>
      </c>
      <c r="D792" s="2">
        <v>0.39583333333333331</v>
      </c>
      <c r="E792">
        <v>21176.959999999999</v>
      </c>
      <c r="F792" s="2">
        <v>0.40208333333333335</v>
      </c>
      <c r="G792">
        <v>21139.9</v>
      </c>
      <c r="H792">
        <v>21191.79</v>
      </c>
      <c r="I792">
        <v>21139.9</v>
      </c>
      <c r="J792" t="s">
        <v>14</v>
      </c>
      <c r="K792">
        <v>37.06</v>
      </c>
      <c r="L792" s="9">
        <v>2.5</v>
      </c>
      <c r="M792">
        <v>1</v>
      </c>
      <c r="N792">
        <v>0</v>
      </c>
    </row>
    <row r="793" spans="1:14" x14ac:dyDescent="0.2">
      <c r="A793" s="1">
        <v>45607</v>
      </c>
      <c r="B793">
        <v>1</v>
      </c>
      <c r="C793" t="s">
        <v>16</v>
      </c>
      <c r="D793" s="2">
        <v>0.44513888888888886</v>
      </c>
      <c r="E793">
        <v>21125.37</v>
      </c>
      <c r="F793" s="2">
        <v>0.44583333333333336</v>
      </c>
      <c r="G793">
        <v>21110.58</v>
      </c>
      <c r="H793">
        <v>21110.58</v>
      </c>
      <c r="I793">
        <v>21162.34</v>
      </c>
      <c r="J793" t="s">
        <v>15</v>
      </c>
      <c r="K793">
        <v>-14.79</v>
      </c>
      <c r="L793" s="9">
        <v>-1</v>
      </c>
      <c r="M793">
        <v>0</v>
      </c>
      <c r="N793">
        <v>0</v>
      </c>
    </row>
    <row r="794" spans="1:14" x14ac:dyDescent="0.2">
      <c r="A794" s="1">
        <v>45608</v>
      </c>
      <c r="B794">
        <v>2</v>
      </c>
      <c r="C794" t="s">
        <v>13</v>
      </c>
      <c r="D794" s="2">
        <v>0.45555555555555555</v>
      </c>
      <c r="E794">
        <v>21099.23</v>
      </c>
      <c r="F794" s="2">
        <v>0.46736111111111112</v>
      </c>
      <c r="G794">
        <v>21062.31</v>
      </c>
      <c r="H794">
        <v>21114</v>
      </c>
      <c r="I794">
        <v>21062.31</v>
      </c>
      <c r="J794" t="s">
        <v>14</v>
      </c>
      <c r="K794">
        <v>36.92</v>
      </c>
      <c r="L794" s="9">
        <v>2.5</v>
      </c>
      <c r="M794">
        <v>1</v>
      </c>
      <c r="N794">
        <v>0</v>
      </c>
    </row>
    <row r="795" spans="1:14" x14ac:dyDescent="0.2">
      <c r="A795" s="1">
        <v>45609</v>
      </c>
      <c r="B795">
        <v>3</v>
      </c>
      <c r="C795" t="s">
        <v>13</v>
      </c>
      <c r="D795" s="2">
        <v>0.42222222222222222</v>
      </c>
      <c r="E795">
        <v>20985.34</v>
      </c>
      <c r="F795" s="2">
        <v>0.4236111111111111</v>
      </c>
      <c r="G795">
        <v>21000.02</v>
      </c>
      <c r="H795">
        <v>21000.02</v>
      </c>
      <c r="I795">
        <v>20948.61</v>
      </c>
      <c r="J795" t="s">
        <v>15</v>
      </c>
      <c r="K795">
        <v>-14.69</v>
      </c>
      <c r="L795" s="9">
        <v>-1</v>
      </c>
      <c r="M795">
        <v>0</v>
      </c>
      <c r="N795">
        <v>0</v>
      </c>
    </row>
    <row r="796" spans="1:14" x14ac:dyDescent="0.2">
      <c r="A796" s="1">
        <v>45610</v>
      </c>
      <c r="B796">
        <v>4</v>
      </c>
      <c r="C796" t="s">
        <v>13</v>
      </c>
      <c r="D796" s="2">
        <v>0.41944444444444445</v>
      </c>
      <c r="E796">
        <v>20981.24</v>
      </c>
      <c r="F796" s="2">
        <v>0.42152777777777778</v>
      </c>
      <c r="G796">
        <v>20995.919999999998</v>
      </c>
      <c r="H796">
        <v>20995.919999999998</v>
      </c>
      <c r="I796">
        <v>20944.52</v>
      </c>
      <c r="J796" t="s">
        <v>15</v>
      </c>
      <c r="K796">
        <v>-14.69</v>
      </c>
      <c r="L796" s="9">
        <v>-1</v>
      </c>
      <c r="M796">
        <v>0</v>
      </c>
      <c r="N796">
        <v>2</v>
      </c>
    </row>
    <row r="797" spans="1:14" x14ac:dyDescent="0.2">
      <c r="A797" s="1">
        <v>45610</v>
      </c>
      <c r="B797">
        <v>4</v>
      </c>
      <c r="C797" t="s">
        <v>16</v>
      </c>
      <c r="D797" s="2">
        <v>0.44513888888888886</v>
      </c>
      <c r="E797">
        <v>21003.15</v>
      </c>
      <c r="F797" s="2">
        <v>0.45694444444444443</v>
      </c>
      <c r="G797">
        <v>20988.45</v>
      </c>
      <c r="H797">
        <v>20988.45</v>
      </c>
      <c r="I797">
        <v>21039.9</v>
      </c>
      <c r="J797" t="s">
        <v>15</v>
      </c>
      <c r="K797">
        <v>-14.7</v>
      </c>
      <c r="L797" s="9">
        <v>-1</v>
      </c>
      <c r="M797">
        <v>0</v>
      </c>
      <c r="N797">
        <v>3</v>
      </c>
    </row>
    <row r="798" spans="1:14" x14ac:dyDescent="0.2">
      <c r="A798" s="1">
        <v>45611</v>
      </c>
      <c r="B798">
        <v>5</v>
      </c>
      <c r="C798" t="s">
        <v>13</v>
      </c>
      <c r="D798" s="2">
        <v>0.40277777777777779</v>
      </c>
      <c r="E798">
        <v>20610.740000000002</v>
      </c>
      <c r="F798" s="2">
        <v>0.40347222222222223</v>
      </c>
      <c r="G798">
        <v>20625.169999999998</v>
      </c>
      <c r="H798">
        <v>20625.169999999998</v>
      </c>
      <c r="I798">
        <v>20574.669999999998</v>
      </c>
      <c r="J798" t="s">
        <v>15</v>
      </c>
      <c r="K798">
        <v>-14.43</v>
      </c>
      <c r="L798" s="9">
        <v>-1</v>
      </c>
      <c r="M798">
        <v>0</v>
      </c>
      <c r="N798">
        <v>4</v>
      </c>
    </row>
    <row r="799" spans="1:14" x14ac:dyDescent="0.2">
      <c r="A799" s="1">
        <v>45611</v>
      </c>
      <c r="B799">
        <v>5</v>
      </c>
      <c r="C799" t="s">
        <v>13</v>
      </c>
      <c r="D799" s="2">
        <v>0.41875000000000001</v>
      </c>
      <c r="E799">
        <v>20582.97</v>
      </c>
      <c r="F799" s="2">
        <v>0.42291666666666666</v>
      </c>
      <c r="G799">
        <v>20546.95</v>
      </c>
      <c r="H799">
        <v>20597.38</v>
      </c>
      <c r="I799">
        <v>20546.95</v>
      </c>
      <c r="J799" t="s">
        <v>14</v>
      </c>
      <c r="K799">
        <v>36.020000000000003</v>
      </c>
      <c r="L799" s="9">
        <v>2.5</v>
      </c>
      <c r="M799">
        <v>1</v>
      </c>
      <c r="N799">
        <v>0</v>
      </c>
    </row>
    <row r="800" spans="1:14" x14ac:dyDescent="0.2">
      <c r="A800" s="1">
        <v>45614</v>
      </c>
      <c r="B800">
        <v>1</v>
      </c>
      <c r="C800" t="s">
        <v>13</v>
      </c>
      <c r="D800" s="2">
        <v>0.40902777777777777</v>
      </c>
      <c r="E800">
        <v>20427.2</v>
      </c>
      <c r="F800" s="2">
        <v>0.41736111111111113</v>
      </c>
      <c r="G800">
        <v>20441.5</v>
      </c>
      <c r="H800">
        <v>20441.5</v>
      </c>
      <c r="I800">
        <v>20391.45</v>
      </c>
      <c r="J800" t="s">
        <v>15</v>
      </c>
      <c r="K800">
        <v>-14.3</v>
      </c>
      <c r="L800" s="9">
        <v>-1</v>
      </c>
      <c r="M800">
        <v>0</v>
      </c>
      <c r="N800">
        <v>0</v>
      </c>
    </row>
    <row r="801" spans="1:14" x14ac:dyDescent="0.2">
      <c r="A801" s="1">
        <v>45614</v>
      </c>
      <c r="B801">
        <v>1</v>
      </c>
      <c r="C801" t="s">
        <v>16</v>
      </c>
      <c r="D801" s="2">
        <v>0.4236111111111111</v>
      </c>
      <c r="E801">
        <v>20480.990000000002</v>
      </c>
      <c r="F801" s="2">
        <v>0.42777777777777776</v>
      </c>
      <c r="G801">
        <v>20516.830000000002</v>
      </c>
      <c r="H801">
        <v>20466.650000000001</v>
      </c>
      <c r="I801">
        <v>20516.830000000002</v>
      </c>
      <c r="J801" t="s">
        <v>14</v>
      </c>
      <c r="K801">
        <v>35.840000000000003</v>
      </c>
      <c r="L801" s="9">
        <v>2.5</v>
      </c>
      <c r="M801">
        <v>1</v>
      </c>
      <c r="N801">
        <v>0</v>
      </c>
    </row>
    <row r="802" spans="1:14" x14ac:dyDescent="0.2">
      <c r="A802" s="1">
        <v>45615</v>
      </c>
      <c r="B802">
        <v>2</v>
      </c>
      <c r="C802" t="s">
        <v>16</v>
      </c>
      <c r="D802" s="2">
        <v>0.40277777777777779</v>
      </c>
      <c r="E802">
        <v>20458.150000000001</v>
      </c>
      <c r="F802" s="2">
        <v>0.40972222222222221</v>
      </c>
      <c r="G802">
        <v>20443.830000000002</v>
      </c>
      <c r="H802">
        <v>20443.830000000002</v>
      </c>
      <c r="I802">
        <v>20493.95</v>
      </c>
      <c r="J802" t="s">
        <v>15</v>
      </c>
      <c r="K802">
        <v>-14.32</v>
      </c>
      <c r="L802" s="9">
        <v>-1</v>
      </c>
      <c r="M802">
        <v>0</v>
      </c>
      <c r="N802">
        <v>0</v>
      </c>
    </row>
    <row r="803" spans="1:14" x14ac:dyDescent="0.2">
      <c r="A803" s="1">
        <v>45615</v>
      </c>
      <c r="B803">
        <v>2</v>
      </c>
      <c r="C803" t="s">
        <v>16</v>
      </c>
      <c r="D803" s="2">
        <v>0.43819444444444444</v>
      </c>
      <c r="E803">
        <v>20494.28</v>
      </c>
      <c r="F803" s="2">
        <v>0.44166666666666665</v>
      </c>
      <c r="G803">
        <v>20530.14</v>
      </c>
      <c r="H803">
        <v>20479.93</v>
      </c>
      <c r="I803">
        <v>20530.14</v>
      </c>
      <c r="J803" t="s">
        <v>14</v>
      </c>
      <c r="K803">
        <v>35.86</v>
      </c>
      <c r="L803" s="9">
        <v>2.5</v>
      </c>
      <c r="M803">
        <v>1</v>
      </c>
      <c r="N803">
        <v>0</v>
      </c>
    </row>
    <row r="804" spans="1:14" x14ac:dyDescent="0.2">
      <c r="A804" s="1">
        <v>45616</v>
      </c>
      <c r="B804">
        <v>3</v>
      </c>
      <c r="C804" t="s">
        <v>13</v>
      </c>
      <c r="D804" s="2">
        <v>0.40486111111111112</v>
      </c>
      <c r="E804">
        <v>20567.439999999999</v>
      </c>
      <c r="F804" s="2">
        <v>0.4152777777777778</v>
      </c>
      <c r="G804">
        <v>20531.45</v>
      </c>
      <c r="H804">
        <v>20581.84</v>
      </c>
      <c r="I804">
        <v>20531.45</v>
      </c>
      <c r="J804" t="s">
        <v>14</v>
      </c>
      <c r="K804">
        <v>35.99</v>
      </c>
      <c r="L804" s="9">
        <v>2.5</v>
      </c>
      <c r="M804">
        <v>1</v>
      </c>
      <c r="N804">
        <v>2</v>
      </c>
    </row>
    <row r="805" spans="1:14" x14ac:dyDescent="0.2">
      <c r="A805" s="1">
        <v>45616</v>
      </c>
      <c r="B805">
        <v>3</v>
      </c>
      <c r="C805" t="s">
        <v>16</v>
      </c>
      <c r="D805" s="2">
        <v>0.4513888888888889</v>
      </c>
      <c r="E805">
        <v>20520.310000000001</v>
      </c>
      <c r="F805" s="2">
        <v>0.46597222222222223</v>
      </c>
      <c r="G805">
        <v>20505.95</v>
      </c>
      <c r="H805">
        <v>20505.95</v>
      </c>
      <c r="I805">
        <v>20556.22</v>
      </c>
      <c r="J805" t="s">
        <v>15</v>
      </c>
      <c r="K805">
        <v>-14.36</v>
      </c>
      <c r="L805" s="9">
        <v>-1</v>
      </c>
      <c r="M805">
        <v>0</v>
      </c>
      <c r="N805">
        <v>0</v>
      </c>
    </row>
    <row r="806" spans="1:14" x14ac:dyDescent="0.2">
      <c r="A806" s="1">
        <v>45617</v>
      </c>
      <c r="B806">
        <v>4</v>
      </c>
      <c r="C806" t="s">
        <v>13</v>
      </c>
      <c r="D806" s="2">
        <v>0.40347222222222223</v>
      </c>
      <c r="E806">
        <v>20601.919999999998</v>
      </c>
      <c r="F806" s="2">
        <v>0.40416666666666667</v>
      </c>
      <c r="G806">
        <v>20565.87</v>
      </c>
      <c r="H806">
        <v>20616.34</v>
      </c>
      <c r="I806">
        <v>20565.87</v>
      </c>
      <c r="J806" t="s">
        <v>14</v>
      </c>
      <c r="K806">
        <v>36.049999999999997</v>
      </c>
      <c r="L806" s="9">
        <v>2.5</v>
      </c>
      <c r="M806">
        <v>1</v>
      </c>
      <c r="N806">
        <v>0</v>
      </c>
    </row>
    <row r="807" spans="1:14" x14ac:dyDescent="0.2">
      <c r="A807" s="1">
        <v>45617</v>
      </c>
      <c r="B807">
        <v>4</v>
      </c>
      <c r="C807" t="s">
        <v>13</v>
      </c>
      <c r="D807" s="2">
        <v>0.41875000000000001</v>
      </c>
      <c r="E807">
        <v>20549.82</v>
      </c>
      <c r="F807" s="2">
        <v>0.4201388888888889</v>
      </c>
      <c r="G807">
        <v>20513.86</v>
      </c>
      <c r="H807">
        <v>20564.2</v>
      </c>
      <c r="I807">
        <v>20513.86</v>
      </c>
      <c r="J807" t="s">
        <v>14</v>
      </c>
      <c r="K807">
        <v>35.96</v>
      </c>
      <c r="L807" s="9">
        <v>2.5</v>
      </c>
      <c r="M807">
        <v>1</v>
      </c>
      <c r="N807">
        <v>2</v>
      </c>
    </row>
    <row r="808" spans="1:14" x14ac:dyDescent="0.2">
      <c r="A808" s="1">
        <v>45617</v>
      </c>
      <c r="B808">
        <v>4</v>
      </c>
      <c r="C808" t="s">
        <v>13</v>
      </c>
      <c r="D808" s="2">
        <v>0.43888888888888888</v>
      </c>
      <c r="E808">
        <v>20453.29</v>
      </c>
      <c r="F808" s="2">
        <v>0.43958333333333333</v>
      </c>
      <c r="G808">
        <v>20467.599999999999</v>
      </c>
      <c r="H808">
        <v>20467.599999999999</v>
      </c>
      <c r="I808">
        <v>20417.490000000002</v>
      </c>
      <c r="J808" t="s">
        <v>15</v>
      </c>
      <c r="K808">
        <v>-14.32</v>
      </c>
      <c r="L808" s="9">
        <v>-1</v>
      </c>
      <c r="M808">
        <v>0</v>
      </c>
      <c r="N808">
        <v>0</v>
      </c>
    </row>
    <row r="809" spans="1:14" x14ac:dyDescent="0.2">
      <c r="A809" s="1">
        <v>45621</v>
      </c>
      <c r="B809">
        <v>1</v>
      </c>
      <c r="C809" t="s">
        <v>13</v>
      </c>
      <c r="D809" s="2">
        <v>0.41944444444444445</v>
      </c>
      <c r="E809">
        <v>20845.48</v>
      </c>
      <c r="F809" s="2">
        <v>0.42083333333333334</v>
      </c>
      <c r="G809">
        <v>20860.07</v>
      </c>
      <c r="H809">
        <v>20860.07</v>
      </c>
      <c r="I809">
        <v>20809</v>
      </c>
      <c r="J809" t="s">
        <v>15</v>
      </c>
      <c r="K809">
        <v>-14.59</v>
      </c>
      <c r="L809" s="9">
        <v>-1</v>
      </c>
      <c r="M809">
        <v>0</v>
      </c>
      <c r="N809">
        <v>2</v>
      </c>
    </row>
    <row r="810" spans="1:14" x14ac:dyDescent="0.2">
      <c r="A810" s="1">
        <v>45623</v>
      </c>
      <c r="B810">
        <v>3</v>
      </c>
      <c r="C810" t="s">
        <v>13</v>
      </c>
      <c r="D810" s="2">
        <v>0.4</v>
      </c>
      <c r="E810">
        <v>20817.240000000002</v>
      </c>
      <c r="F810" s="2">
        <v>0.41180555555555554</v>
      </c>
      <c r="G810">
        <v>20780.810000000001</v>
      </c>
      <c r="H810">
        <v>20831.810000000001</v>
      </c>
      <c r="I810">
        <v>20780.810000000001</v>
      </c>
      <c r="J810" t="s">
        <v>14</v>
      </c>
      <c r="K810">
        <v>36.43</v>
      </c>
      <c r="L810" s="9">
        <v>2.5</v>
      </c>
      <c r="M810">
        <v>1</v>
      </c>
      <c r="N810">
        <v>0</v>
      </c>
    </row>
    <row r="811" spans="1:14" x14ac:dyDescent="0.2">
      <c r="A811" s="1">
        <v>45624</v>
      </c>
      <c r="B811">
        <v>4</v>
      </c>
      <c r="C811" t="s">
        <v>16</v>
      </c>
      <c r="D811" s="2">
        <v>0.39930555555555558</v>
      </c>
      <c r="E811">
        <v>20816.07</v>
      </c>
      <c r="F811" s="2">
        <v>0.64583333333333337</v>
      </c>
      <c r="G811">
        <v>20815.900000000001</v>
      </c>
      <c r="H811">
        <v>20801.5</v>
      </c>
      <c r="I811">
        <v>20852.5</v>
      </c>
      <c r="J811" t="s">
        <v>18</v>
      </c>
      <c r="K811">
        <v>-0.17</v>
      </c>
      <c r="L811" s="9">
        <v>-1.1604066E-2</v>
      </c>
      <c r="M811">
        <v>0</v>
      </c>
      <c r="N811">
        <v>0</v>
      </c>
    </row>
    <row r="812" spans="1:14" x14ac:dyDescent="0.2">
      <c r="A812" s="1">
        <v>45625</v>
      </c>
      <c r="B812">
        <v>5</v>
      </c>
      <c r="C812" t="s">
        <v>16</v>
      </c>
      <c r="D812" s="2">
        <v>0.41805555555555557</v>
      </c>
      <c r="E812">
        <v>20851.580000000002</v>
      </c>
      <c r="F812" s="2">
        <v>0.4236111111111111</v>
      </c>
      <c r="G812">
        <v>20888.07</v>
      </c>
      <c r="H812">
        <v>20836.98</v>
      </c>
      <c r="I812">
        <v>20888.07</v>
      </c>
      <c r="J812" t="s">
        <v>14</v>
      </c>
      <c r="K812">
        <v>36.49</v>
      </c>
      <c r="L812" s="9">
        <v>2.5</v>
      </c>
      <c r="M812">
        <v>1</v>
      </c>
      <c r="N812">
        <v>0</v>
      </c>
    </row>
    <row r="813" spans="1:14" x14ac:dyDescent="0.2">
      <c r="A813" s="1">
        <v>45629</v>
      </c>
      <c r="B813">
        <v>2</v>
      </c>
      <c r="C813" t="s">
        <v>13</v>
      </c>
      <c r="D813" s="2">
        <v>0.3972222222222222</v>
      </c>
      <c r="E813">
        <v>21099.200000000001</v>
      </c>
      <c r="F813" s="2">
        <v>0.39861111111111114</v>
      </c>
      <c r="G813">
        <v>21113.97</v>
      </c>
      <c r="H813">
        <v>21113.97</v>
      </c>
      <c r="I813">
        <v>21062.27</v>
      </c>
      <c r="J813" t="s">
        <v>15</v>
      </c>
      <c r="K813">
        <v>-14.77</v>
      </c>
      <c r="L813" s="9">
        <v>-1</v>
      </c>
      <c r="M813">
        <v>0</v>
      </c>
      <c r="N813">
        <v>0</v>
      </c>
    </row>
    <row r="814" spans="1:14" x14ac:dyDescent="0.2">
      <c r="A814" s="1">
        <v>45629</v>
      </c>
      <c r="B814">
        <v>2</v>
      </c>
      <c r="C814" t="s">
        <v>16</v>
      </c>
      <c r="D814" s="2">
        <v>0.40902777777777777</v>
      </c>
      <c r="E814">
        <v>21138.77</v>
      </c>
      <c r="F814" s="2">
        <v>0.42083333333333334</v>
      </c>
      <c r="G814">
        <v>21175.77</v>
      </c>
      <c r="H814">
        <v>21123.98</v>
      </c>
      <c r="I814">
        <v>21175.77</v>
      </c>
      <c r="J814" t="s">
        <v>14</v>
      </c>
      <c r="K814">
        <v>36.99</v>
      </c>
      <c r="L814" s="9">
        <v>2.5</v>
      </c>
      <c r="M814">
        <v>1</v>
      </c>
      <c r="N814">
        <v>0</v>
      </c>
    </row>
    <row r="815" spans="1:14" x14ac:dyDescent="0.2">
      <c r="A815" s="1">
        <v>45629</v>
      </c>
      <c r="B815">
        <v>2</v>
      </c>
      <c r="C815" t="s">
        <v>13</v>
      </c>
      <c r="D815" s="2">
        <v>0.43680555555555556</v>
      </c>
      <c r="E815">
        <v>21129.57</v>
      </c>
      <c r="F815" s="2">
        <v>0.43958333333333333</v>
      </c>
      <c r="G815">
        <v>21144.36</v>
      </c>
      <c r="H815">
        <v>21144.36</v>
      </c>
      <c r="I815">
        <v>21092.59</v>
      </c>
      <c r="J815" t="s">
        <v>15</v>
      </c>
      <c r="K815">
        <v>-14.79</v>
      </c>
      <c r="L815" s="9">
        <v>-1</v>
      </c>
      <c r="M815">
        <v>0</v>
      </c>
      <c r="N815">
        <v>0</v>
      </c>
    </row>
    <row r="816" spans="1:14" x14ac:dyDescent="0.2">
      <c r="A816" s="1">
        <v>45631</v>
      </c>
      <c r="B816">
        <v>4</v>
      </c>
      <c r="C816" t="s">
        <v>16</v>
      </c>
      <c r="D816" s="2">
        <v>0.39583333333333331</v>
      </c>
      <c r="E816">
        <v>21481.08</v>
      </c>
      <c r="F816" s="2">
        <v>0.40972222222222221</v>
      </c>
      <c r="G816">
        <v>21466.04</v>
      </c>
      <c r="H816">
        <v>21466.04</v>
      </c>
      <c r="I816">
        <v>21518.67</v>
      </c>
      <c r="J816" t="s">
        <v>15</v>
      </c>
      <c r="K816">
        <v>-15.04</v>
      </c>
      <c r="L816" s="9">
        <v>-1</v>
      </c>
      <c r="M816">
        <v>0</v>
      </c>
      <c r="N816">
        <v>2</v>
      </c>
    </row>
    <row r="817" spans="1:14" x14ac:dyDescent="0.2">
      <c r="A817" s="1">
        <v>45631</v>
      </c>
      <c r="B817">
        <v>4</v>
      </c>
      <c r="C817" t="s">
        <v>13</v>
      </c>
      <c r="D817" s="2">
        <v>0.41597222222222224</v>
      </c>
      <c r="E817">
        <v>21456.2</v>
      </c>
      <c r="F817" s="2">
        <v>0.41736111111111113</v>
      </c>
      <c r="G817">
        <v>21471.22</v>
      </c>
      <c r="H817">
        <v>21471.22</v>
      </c>
      <c r="I817">
        <v>21418.65</v>
      </c>
      <c r="J817" t="s">
        <v>15</v>
      </c>
      <c r="K817">
        <v>-15.02</v>
      </c>
      <c r="L817" s="9">
        <v>-1</v>
      </c>
      <c r="M817">
        <v>0</v>
      </c>
      <c r="N817">
        <v>3</v>
      </c>
    </row>
    <row r="818" spans="1:14" x14ac:dyDescent="0.2">
      <c r="A818" s="1">
        <v>45632</v>
      </c>
      <c r="B818">
        <v>5</v>
      </c>
      <c r="C818" t="s">
        <v>16</v>
      </c>
      <c r="D818" s="2">
        <v>0.40138888888888891</v>
      </c>
      <c r="E818">
        <v>21481.42</v>
      </c>
      <c r="F818" s="2">
        <v>0.40625</v>
      </c>
      <c r="G818">
        <v>21519.01</v>
      </c>
      <c r="H818">
        <v>21466.38</v>
      </c>
      <c r="I818">
        <v>21519.01</v>
      </c>
      <c r="J818" t="s">
        <v>14</v>
      </c>
      <c r="K818">
        <v>37.590000000000003</v>
      </c>
      <c r="L818" s="9">
        <v>2.5</v>
      </c>
      <c r="M818">
        <v>1</v>
      </c>
      <c r="N818">
        <v>0</v>
      </c>
    </row>
    <row r="819" spans="1:14" x14ac:dyDescent="0.2">
      <c r="A819" s="1">
        <v>45632</v>
      </c>
      <c r="B819">
        <v>5</v>
      </c>
      <c r="C819" t="s">
        <v>13</v>
      </c>
      <c r="D819" s="2">
        <v>0.4548611111111111</v>
      </c>
      <c r="E819">
        <v>21559.52</v>
      </c>
      <c r="F819" s="2">
        <v>0.45555555555555555</v>
      </c>
      <c r="G819">
        <v>21574.62</v>
      </c>
      <c r="H819">
        <v>21574.62</v>
      </c>
      <c r="I819">
        <v>21521.8</v>
      </c>
      <c r="J819" t="s">
        <v>15</v>
      </c>
      <c r="K819">
        <v>-15.09</v>
      </c>
      <c r="L819" s="9">
        <v>-1</v>
      </c>
      <c r="M819">
        <v>0</v>
      </c>
      <c r="N819">
        <v>0</v>
      </c>
    </row>
    <row r="820" spans="1:14" x14ac:dyDescent="0.2">
      <c r="A820" s="1">
        <v>45635</v>
      </c>
      <c r="B820">
        <v>1</v>
      </c>
      <c r="C820" t="s">
        <v>13</v>
      </c>
      <c r="D820" s="2">
        <v>0.4375</v>
      </c>
      <c r="E820">
        <v>21524.19</v>
      </c>
      <c r="F820" s="2">
        <v>0.44236111111111109</v>
      </c>
      <c r="G820">
        <v>21486.52</v>
      </c>
      <c r="H820">
        <v>21539.25</v>
      </c>
      <c r="I820">
        <v>21486.52</v>
      </c>
      <c r="J820" t="s">
        <v>14</v>
      </c>
      <c r="K820">
        <v>37.67</v>
      </c>
      <c r="L820" s="9">
        <v>2.5</v>
      </c>
      <c r="M820">
        <v>1</v>
      </c>
      <c r="N820">
        <v>0</v>
      </c>
    </row>
    <row r="821" spans="1:14" x14ac:dyDescent="0.2">
      <c r="A821" s="1">
        <v>45636</v>
      </c>
      <c r="B821">
        <v>2</v>
      </c>
      <c r="C821" t="s">
        <v>16</v>
      </c>
      <c r="D821" s="2">
        <v>0.40833333333333333</v>
      </c>
      <c r="E821">
        <v>21537.91</v>
      </c>
      <c r="F821" s="2">
        <v>0.40972222222222221</v>
      </c>
      <c r="G821">
        <v>21522.84</v>
      </c>
      <c r="H821">
        <v>21522.84</v>
      </c>
      <c r="I821">
        <v>21575.61</v>
      </c>
      <c r="J821" t="s">
        <v>15</v>
      </c>
      <c r="K821">
        <v>-15.08</v>
      </c>
      <c r="L821" s="9">
        <v>-1</v>
      </c>
      <c r="M821">
        <v>0</v>
      </c>
      <c r="N821">
        <v>0</v>
      </c>
    </row>
    <row r="822" spans="1:14" x14ac:dyDescent="0.2">
      <c r="A822" s="1">
        <v>45636</v>
      </c>
      <c r="B822">
        <v>2</v>
      </c>
      <c r="C822" t="s">
        <v>16</v>
      </c>
      <c r="D822" s="2">
        <v>0.4236111111111111</v>
      </c>
      <c r="E822">
        <v>21549.040000000001</v>
      </c>
      <c r="F822" s="2">
        <v>0.43472222222222223</v>
      </c>
      <c r="G822">
        <v>21533.95</v>
      </c>
      <c r="H822">
        <v>21533.95</v>
      </c>
      <c r="I822">
        <v>21586.75</v>
      </c>
      <c r="J822" t="s">
        <v>15</v>
      </c>
      <c r="K822">
        <v>-15.08</v>
      </c>
      <c r="L822" s="9">
        <v>-1</v>
      </c>
      <c r="M822">
        <v>0</v>
      </c>
      <c r="N822">
        <v>2</v>
      </c>
    </row>
    <row r="823" spans="1:14" x14ac:dyDescent="0.2">
      <c r="A823" s="1">
        <v>45636</v>
      </c>
      <c r="B823">
        <v>2</v>
      </c>
      <c r="C823" t="s">
        <v>13</v>
      </c>
      <c r="D823" s="2">
        <v>0.45277777777777778</v>
      </c>
      <c r="E823">
        <v>21501.97</v>
      </c>
      <c r="F823" s="2">
        <v>0.45694444444444443</v>
      </c>
      <c r="G823">
        <v>21464.34</v>
      </c>
      <c r="H823">
        <v>21517.02</v>
      </c>
      <c r="I823">
        <v>21464.34</v>
      </c>
      <c r="J823" t="s">
        <v>14</v>
      </c>
      <c r="K823">
        <v>37.630000000000003</v>
      </c>
      <c r="L823" s="9">
        <v>2.5</v>
      </c>
      <c r="M823">
        <v>1</v>
      </c>
      <c r="N823">
        <v>0</v>
      </c>
    </row>
    <row r="824" spans="1:14" x14ac:dyDescent="0.2">
      <c r="A824" s="1">
        <v>45637</v>
      </c>
      <c r="B824">
        <v>3</v>
      </c>
      <c r="C824" t="s">
        <v>16</v>
      </c>
      <c r="D824" s="2">
        <v>0.39583333333333331</v>
      </c>
      <c r="E824">
        <v>21545.77</v>
      </c>
      <c r="F824" s="2">
        <v>0.4</v>
      </c>
      <c r="G824">
        <v>21583.48</v>
      </c>
      <c r="H824">
        <v>21530.69</v>
      </c>
      <c r="I824">
        <v>21583.48</v>
      </c>
      <c r="J824" t="s">
        <v>14</v>
      </c>
      <c r="K824">
        <v>37.71</v>
      </c>
      <c r="L824" s="9">
        <v>2.5</v>
      </c>
      <c r="M824">
        <v>1</v>
      </c>
      <c r="N824">
        <v>2</v>
      </c>
    </row>
    <row r="825" spans="1:14" x14ac:dyDescent="0.2">
      <c r="A825" s="1">
        <v>45637</v>
      </c>
      <c r="B825">
        <v>3</v>
      </c>
      <c r="C825" t="s">
        <v>16</v>
      </c>
      <c r="D825" s="2">
        <v>0.44444444444444442</v>
      </c>
      <c r="E825">
        <v>21684.560000000001</v>
      </c>
      <c r="F825" s="2">
        <v>0.4465277777777778</v>
      </c>
      <c r="G825">
        <v>21669.38</v>
      </c>
      <c r="H825">
        <v>21669.38</v>
      </c>
      <c r="I825">
        <v>21722.51</v>
      </c>
      <c r="J825" t="s">
        <v>15</v>
      </c>
      <c r="K825">
        <v>-15.18</v>
      </c>
      <c r="L825" s="9">
        <v>-1</v>
      </c>
      <c r="M825">
        <v>0</v>
      </c>
      <c r="N825">
        <v>0</v>
      </c>
    </row>
    <row r="826" spans="1:14" x14ac:dyDescent="0.2">
      <c r="A826" s="1">
        <v>45637</v>
      </c>
      <c r="B826">
        <v>3</v>
      </c>
      <c r="C826" t="s">
        <v>13</v>
      </c>
      <c r="D826" s="2">
        <v>0.45763888888888887</v>
      </c>
      <c r="E826">
        <v>21647.13</v>
      </c>
      <c r="F826" s="2">
        <v>0.45833333333333331</v>
      </c>
      <c r="G826">
        <v>21662.29</v>
      </c>
      <c r="H826">
        <v>21662.29</v>
      </c>
      <c r="I826">
        <v>21609.25</v>
      </c>
      <c r="J826" t="s">
        <v>15</v>
      </c>
      <c r="K826">
        <v>-15.15</v>
      </c>
      <c r="L826" s="9">
        <v>-1</v>
      </c>
      <c r="M826">
        <v>0</v>
      </c>
      <c r="N826">
        <v>2</v>
      </c>
    </row>
    <row r="827" spans="1:14" x14ac:dyDescent="0.2">
      <c r="A827" s="1">
        <v>45638</v>
      </c>
      <c r="B827">
        <v>4</v>
      </c>
      <c r="C827" t="s">
        <v>16</v>
      </c>
      <c r="D827" s="2">
        <v>0.39583333333333331</v>
      </c>
      <c r="E827">
        <v>21658.49</v>
      </c>
      <c r="F827" s="2">
        <v>0.39652777777777776</v>
      </c>
      <c r="G827">
        <v>21643.33</v>
      </c>
      <c r="H827">
        <v>21643.33</v>
      </c>
      <c r="I827">
        <v>21696.39</v>
      </c>
      <c r="J827" t="s">
        <v>15</v>
      </c>
      <c r="K827">
        <v>-15.16</v>
      </c>
      <c r="L827" s="9">
        <v>-1</v>
      </c>
      <c r="M827">
        <v>0</v>
      </c>
      <c r="N827">
        <v>3</v>
      </c>
    </row>
    <row r="828" spans="1:14" x14ac:dyDescent="0.2">
      <c r="A828" s="1">
        <v>45638</v>
      </c>
      <c r="B828">
        <v>4</v>
      </c>
      <c r="C828" t="s">
        <v>16</v>
      </c>
      <c r="D828" s="2">
        <v>0.44513888888888886</v>
      </c>
      <c r="E828">
        <v>21682.37</v>
      </c>
      <c r="F828" s="2">
        <v>0.44583333333333336</v>
      </c>
      <c r="G828">
        <v>21667.19</v>
      </c>
      <c r="H828">
        <v>21667.19</v>
      </c>
      <c r="I828">
        <v>21720.32</v>
      </c>
      <c r="J828" t="s">
        <v>15</v>
      </c>
      <c r="K828">
        <v>-15.18</v>
      </c>
      <c r="L828" s="9">
        <v>-1</v>
      </c>
      <c r="M828">
        <v>0</v>
      </c>
      <c r="N828">
        <v>4</v>
      </c>
    </row>
    <row r="829" spans="1:14" x14ac:dyDescent="0.2">
      <c r="A829" s="1">
        <v>45639</v>
      </c>
      <c r="B829">
        <v>5</v>
      </c>
      <c r="C829" t="s">
        <v>16</v>
      </c>
      <c r="D829" s="2">
        <v>0.40763888888888888</v>
      </c>
      <c r="E829">
        <v>21862.77</v>
      </c>
      <c r="F829" s="2">
        <v>0.41319444444444442</v>
      </c>
      <c r="G829">
        <v>21847.47</v>
      </c>
      <c r="H829">
        <v>21847.47</v>
      </c>
      <c r="I829">
        <v>21901.03</v>
      </c>
      <c r="J829" t="s">
        <v>15</v>
      </c>
      <c r="K829">
        <v>-15.3</v>
      </c>
      <c r="L829" s="9">
        <v>-1</v>
      </c>
      <c r="M829">
        <v>0</v>
      </c>
      <c r="N829">
        <v>5</v>
      </c>
    </row>
    <row r="830" spans="1:14" x14ac:dyDescent="0.2">
      <c r="A830" s="1">
        <v>45639</v>
      </c>
      <c r="B830">
        <v>5</v>
      </c>
      <c r="C830" t="s">
        <v>13</v>
      </c>
      <c r="D830" s="2">
        <v>0.43125000000000002</v>
      </c>
      <c r="E830">
        <v>21819.23</v>
      </c>
      <c r="F830" s="2">
        <v>0.43541666666666667</v>
      </c>
      <c r="G830">
        <v>21781.05</v>
      </c>
      <c r="H830">
        <v>21834.5</v>
      </c>
      <c r="I830">
        <v>21781.05</v>
      </c>
      <c r="J830" t="s">
        <v>14</v>
      </c>
      <c r="K830">
        <v>38.18</v>
      </c>
      <c r="L830" s="9">
        <v>2.5</v>
      </c>
      <c r="M830">
        <v>1</v>
      </c>
      <c r="N830">
        <v>0</v>
      </c>
    </row>
    <row r="831" spans="1:14" x14ac:dyDescent="0.2">
      <c r="A831" s="1">
        <v>45643</v>
      </c>
      <c r="B831">
        <v>2</v>
      </c>
      <c r="C831" t="s">
        <v>13</v>
      </c>
      <c r="D831" s="2">
        <v>0.3972222222222222</v>
      </c>
      <c r="E831">
        <v>22004.2</v>
      </c>
      <c r="F831" s="2">
        <v>0.40069444444444446</v>
      </c>
      <c r="G831">
        <v>21965.69</v>
      </c>
      <c r="H831">
        <v>22019.599999999999</v>
      </c>
      <c r="I831">
        <v>21965.69</v>
      </c>
      <c r="J831" t="s">
        <v>14</v>
      </c>
      <c r="K831">
        <v>38.51</v>
      </c>
      <c r="L831" s="9">
        <v>2.5</v>
      </c>
      <c r="M831">
        <v>1</v>
      </c>
      <c r="N831">
        <v>2</v>
      </c>
    </row>
    <row r="832" spans="1:14" x14ac:dyDescent="0.2">
      <c r="A832" s="1">
        <v>45643</v>
      </c>
      <c r="B832">
        <v>2</v>
      </c>
      <c r="C832" t="s">
        <v>13</v>
      </c>
      <c r="D832" s="2">
        <v>0.42708333333333331</v>
      </c>
      <c r="E832">
        <v>21960.92</v>
      </c>
      <c r="F832" s="2">
        <v>0.44444444444444442</v>
      </c>
      <c r="G832">
        <v>21976.29</v>
      </c>
      <c r="H832">
        <v>21976.29</v>
      </c>
      <c r="I832">
        <v>21922.49</v>
      </c>
      <c r="J832" t="s">
        <v>15</v>
      </c>
      <c r="K832">
        <v>-15.37</v>
      </c>
      <c r="L832" s="9">
        <v>-1</v>
      </c>
      <c r="M832">
        <v>0</v>
      </c>
      <c r="N832">
        <v>0</v>
      </c>
    </row>
    <row r="833" spans="1:14" x14ac:dyDescent="0.2">
      <c r="A833" s="1">
        <v>45643</v>
      </c>
      <c r="B833">
        <v>2</v>
      </c>
      <c r="C833" t="s">
        <v>16</v>
      </c>
      <c r="D833" s="2">
        <v>0.4513888888888889</v>
      </c>
      <c r="E833">
        <v>21980.45</v>
      </c>
      <c r="F833" s="2">
        <v>0.46458333333333335</v>
      </c>
      <c r="G833">
        <v>22018.92</v>
      </c>
      <c r="H833">
        <v>21965.06</v>
      </c>
      <c r="I833">
        <v>22018.92</v>
      </c>
      <c r="J833" t="s">
        <v>14</v>
      </c>
      <c r="K833">
        <v>38.47</v>
      </c>
      <c r="L833" s="9">
        <v>2.5</v>
      </c>
      <c r="M833">
        <v>1</v>
      </c>
      <c r="N833">
        <v>0</v>
      </c>
    </row>
    <row r="834" spans="1:14" x14ac:dyDescent="0.2">
      <c r="A834" s="1">
        <v>45645</v>
      </c>
      <c r="B834">
        <v>4</v>
      </c>
      <c r="C834" t="s">
        <v>16</v>
      </c>
      <c r="D834" s="2">
        <v>0.39583333333333331</v>
      </c>
      <c r="E834">
        <v>21374.32</v>
      </c>
      <c r="F834" s="2">
        <v>0.3972222222222222</v>
      </c>
      <c r="G834">
        <v>21359.360000000001</v>
      </c>
      <c r="H834">
        <v>21359.360000000001</v>
      </c>
      <c r="I834">
        <v>21411.73</v>
      </c>
      <c r="J834" t="s">
        <v>15</v>
      </c>
      <c r="K834">
        <v>-14.96</v>
      </c>
      <c r="L834" s="9">
        <v>-1</v>
      </c>
      <c r="M834">
        <v>0</v>
      </c>
      <c r="N834">
        <v>0</v>
      </c>
    </row>
    <row r="835" spans="1:14" x14ac:dyDescent="0.2">
      <c r="A835" s="1">
        <v>45645</v>
      </c>
      <c r="B835">
        <v>4</v>
      </c>
      <c r="C835" t="s">
        <v>13</v>
      </c>
      <c r="D835" s="2">
        <v>0.41180555555555554</v>
      </c>
      <c r="E835">
        <v>21308.23</v>
      </c>
      <c r="F835" s="2">
        <v>0.41249999999999998</v>
      </c>
      <c r="G835">
        <v>21270.94</v>
      </c>
      <c r="H835">
        <v>21323.15</v>
      </c>
      <c r="I835">
        <v>21270.94</v>
      </c>
      <c r="J835" t="s">
        <v>14</v>
      </c>
      <c r="K835">
        <v>37.29</v>
      </c>
      <c r="L835" s="9">
        <v>2.5</v>
      </c>
      <c r="M835">
        <v>1</v>
      </c>
      <c r="N835">
        <v>0</v>
      </c>
    </row>
    <row r="836" spans="1:14" x14ac:dyDescent="0.2">
      <c r="A836" s="1">
        <v>45645</v>
      </c>
      <c r="B836">
        <v>4</v>
      </c>
      <c r="C836" t="s">
        <v>13</v>
      </c>
      <c r="D836" s="2">
        <v>0.43888888888888888</v>
      </c>
      <c r="E836">
        <v>21214.44</v>
      </c>
      <c r="F836" s="2">
        <v>0.44166666666666665</v>
      </c>
      <c r="G836">
        <v>21177.32</v>
      </c>
      <c r="H836">
        <v>21229.29</v>
      </c>
      <c r="I836">
        <v>21177.32</v>
      </c>
      <c r="J836" t="s">
        <v>14</v>
      </c>
      <c r="K836">
        <v>37.130000000000003</v>
      </c>
      <c r="L836" s="9">
        <v>2.5</v>
      </c>
      <c r="M836">
        <v>1</v>
      </c>
      <c r="N836">
        <v>2</v>
      </c>
    </row>
    <row r="837" spans="1:14" x14ac:dyDescent="0.2">
      <c r="A837" s="1">
        <v>45646</v>
      </c>
      <c r="B837">
        <v>5</v>
      </c>
      <c r="C837" t="s">
        <v>16</v>
      </c>
      <c r="D837" s="2">
        <v>0.42152777777777778</v>
      </c>
      <c r="E837">
        <v>21016.35</v>
      </c>
      <c r="F837" s="2">
        <v>0.42222222222222222</v>
      </c>
      <c r="G837">
        <v>21001.64</v>
      </c>
      <c r="H837">
        <v>21001.64</v>
      </c>
      <c r="I837">
        <v>21053.13</v>
      </c>
      <c r="J837" t="s">
        <v>15</v>
      </c>
      <c r="K837">
        <v>-14.71</v>
      </c>
      <c r="L837" s="9">
        <v>-1</v>
      </c>
      <c r="M837">
        <v>0</v>
      </c>
      <c r="N837">
        <v>0</v>
      </c>
    </row>
    <row r="838" spans="1:14" x14ac:dyDescent="0.2">
      <c r="A838" s="1">
        <v>45649</v>
      </c>
      <c r="B838">
        <v>1</v>
      </c>
      <c r="C838" t="s">
        <v>16</v>
      </c>
      <c r="D838" s="2">
        <v>0.39583333333333331</v>
      </c>
      <c r="E838">
        <v>21345.52</v>
      </c>
      <c r="F838" s="2">
        <v>0.39652777777777776</v>
      </c>
      <c r="G838">
        <v>21382.87</v>
      </c>
      <c r="H838">
        <v>21330.58</v>
      </c>
      <c r="I838">
        <v>21382.87</v>
      </c>
      <c r="J838" t="s">
        <v>14</v>
      </c>
      <c r="K838">
        <v>37.35</v>
      </c>
      <c r="L838" s="9">
        <v>2.5</v>
      </c>
      <c r="M838">
        <v>1</v>
      </c>
      <c r="N838">
        <v>0</v>
      </c>
    </row>
    <row r="839" spans="1:14" x14ac:dyDescent="0.2">
      <c r="A839" s="1">
        <v>45649</v>
      </c>
      <c r="B839">
        <v>1</v>
      </c>
      <c r="C839" t="s">
        <v>13</v>
      </c>
      <c r="D839" s="2">
        <v>0.42499999999999999</v>
      </c>
      <c r="E839">
        <v>21248.55</v>
      </c>
      <c r="F839" s="2">
        <v>0.42569444444444443</v>
      </c>
      <c r="G839">
        <v>21263.42</v>
      </c>
      <c r="H839">
        <v>21263.42</v>
      </c>
      <c r="I839">
        <v>21211.360000000001</v>
      </c>
      <c r="J839" t="s">
        <v>15</v>
      </c>
      <c r="K839">
        <v>-14.87</v>
      </c>
      <c r="L839" s="9">
        <v>-1</v>
      </c>
      <c r="M839">
        <v>0</v>
      </c>
      <c r="N839">
        <v>0</v>
      </c>
    </row>
    <row r="840" spans="1:14" x14ac:dyDescent="0.2">
      <c r="A840" s="1">
        <v>45650</v>
      </c>
      <c r="B840">
        <v>2</v>
      </c>
      <c r="C840" t="s">
        <v>16</v>
      </c>
      <c r="D840" s="2">
        <v>0.40902777777777777</v>
      </c>
      <c r="E840">
        <v>21614.99</v>
      </c>
      <c r="F840" s="2">
        <v>0.40972222222222221</v>
      </c>
      <c r="G840">
        <v>21599.86</v>
      </c>
      <c r="H840">
        <v>21599.86</v>
      </c>
      <c r="I840">
        <v>21652.81</v>
      </c>
      <c r="J840" t="s">
        <v>15</v>
      </c>
      <c r="K840">
        <v>-15.13</v>
      </c>
      <c r="L840" s="9">
        <v>-1</v>
      </c>
      <c r="M840">
        <v>0</v>
      </c>
      <c r="N840">
        <v>2</v>
      </c>
    </row>
    <row r="841" spans="1:14" x14ac:dyDescent="0.2">
      <c r="A841" s="1">
        <v>45650</v>
      </c>
      <c r="B841">
        <v>2</v>
      </c>
      <c r="C841" t="s">
        <v>16</v>
      </c>
      <c r="D841" s="2">
        <v>0.44236111111111109</v>
      </c>
      <c r="E841">
        <v>21678.53</v>
      </c>
      <c r="F841" s="2">
        <v>0.45902777777777776</v>
      </c>
      <c r="G841">
        <v>21716.47</v>
      </c>
      <c r="H841">
        <v>21663.360000000001</v>
      </c>
      <c r="I841">
        <v>21716.47</v>
      </c>
      <c r="J841" t="s">
        <v>14</v>
      </c>
      <c r="K841">
        <v>37.94</v>
      </c>
      <c r="L841" s="9">
        <v>2.5</v>
      </c>
      <c r="M841">
        <v>1</v>
      </c>
      <c r="N841">
        <v>0</v>
      </c>
    </row>
    <row r="842" spans="1:14" x14ac:dyDescent="0.2">
      <c r="A842" s="1">
        <v>45652</v>
      </c>
      <c r="B842">
        <v>4</v>
      </c>
      <c r="C842" t="s">
        <v>16</v>
      </c>
      <c r="D842" s="2">
        <v>0.44027777777777777</v>
      </c>
      <c r="E842">
        <v>21740.93</v>
      </c>
      <c r="F842" s="2">
        <v>0.44513888888888886</v>
      </c>
      <c r="G842">
        <v>21725.71</v>
      </c>
      <c r="H842">
        <v>21725.71</v>
      </c>
      <c r="I842">
        <v>21778.97</v>
      </c>
      <c r="J842" t="s">
        <v>15</v>
      </c>
      <c r="K842">
        <v>-15.22</v>
      </c>
      <c r="L842" s="9">
        <v>-1</v>
      </c>
      <c r="M842">
        <v>0</v>
      </c>
      <c r="N842">
        <v>0</v>
      </c>
    </row>
    <row r="843" spans="1:14" x14ac:dyDescent="0.2">
      <c r="A843" s="1">
        <v>45653</v>
      </c>
      <c r="B843">
        <v>5</v>
      </c>
      <c r="C843" t="s">
        <v>13</v>
      </c>
      <c r="D843" s="2">
        <v>0.39583333333333331</v>
      </c>
      <c r="E843">
        <v>21618.68</v>
      </c>
      <c r="F843" s="2">
        <v>0.3972222222222222</v>
      </c>
      <c r="G843">
        <v>21580.84</v>
      </c>
      <c r="H843">
        <v>21633.81</v>
      </c>
      <c r="I843">
        <v>21580.84</v>
      </c>
      <c r="J843" t="s">
        <v>14</v>
      </c>
      <c r="K843">
        <v>37.83</v>
      </c>
      <c r="L843" s="9">
        <v>2.5</v>
      </c>
      <c r="M843">
        <v>1</v>
      </c>
      <c r="N843">
        <v>0</v>
      </c>
    </row>
    <row r="844" spans="1:14" x14ac:dyDescent="0.2">
      <c r="A844" s="1">
        <v>45653</v>
      </c>
      <c r="B844">
        <v>5</v>
      </c>
      <c r="C844" t="s">
        <v>16</v>
      </c>
      <c r="D844" s="2">
        <v>0.45277777777777778</v>
      </c>
      <c r="E844">
        <v>21360.34</v>
      </c>
      <c r="F844" s="2">
        <v>0.4597222222222222</v>
      </c>
      <c r="G844">
        <v>21345.39</v>
      </c>
      <c r="H844">
        <v>21345.39</v>
      </c>
      <c r="I844">
        <v>21397.73</v>
      </c>
      <c r="J844" t="s">
        <v>15</v>
      </c>
      <c r="K844">
        <v>-14.95</v>
      </c>
      <c r="L844" s="9">
        <v>-1</v>
      </c>
      <c r="M844">
        <v>0</v>
      </c>
      <c r="N844">
        <v>0</v>
      </c>
    </row>
    <row r="845" spans="1:14" x14ac:dyDescent="0.2">
      <c r="A845" s="1">
        <v>45656</v>
      </c>
      <c r="B845">
        <v>1</v>
      </c>
      <c r="C845" t="s">
        <v>13</v>
      </c>
      <c r="D845" s="2">
        <v>0.40763888888888888</v>
      </c>
      <c r="E845">
        <v>21092.23</v>
      </c>
      <c r="F845" s="2">
        <v>0.40972222222222221</v>
      </c>
      <c r="G845">
        <v>21107</v>
      </c>
      <c r="H845">
        <v>21107</v>
      </c>
      <c r="I845">
        <v>21055.32</v>
      </c>
      <c r="J845" t="s">
        <v>15</v>
      </c>
      <c r="K845">
        <v>-14.76</v>
      </c>
      <c r="L845" s="9">
        <v>-1</v>
      </c>
      <c r="M845">
        <v>0</v>
      </c>
      <c r="N845">
        <v>2</v>
      </c>
    </row>
    <row r="846" spans="1:14" x14ac:dyDescent="0.2">
      <c r="A846" s="1">
        <v>45656</v>
      </c>
      <c r="B846">
        <v>1</v>
      </c>
      <c r="C846" t="s">
        <v>16</v>
      </c>
      <c r="D846" s="2">
        <v>0.44861111111111113</v>
      </c>
      <c r="E846">
        <v>21136.78</v>
      </c>
      <c r="F846" s="2">
        <v>0.44930555555555557</v>
      </c>
      <c r="G846">
        <v>21121.99</v>
      </c>
      <c r="H846">
        <v>21121.99</v>
      </c>
      <c r="I846">
        <v>21173.77</v>
      </c>
      <c r="J846" t="s">
        <v>15</v>
      </c>
      <c r="K846">
        <v>-14.8</v>
      </c>
      <c r="L846" s="9">
        <v>-1</v>
      </c>
      <c r="M846">
        <v>0</v>
      </c>
      <c r="N846">
        <v>3</v>
      </c>
    </row>
    <row r="847" spans="1:14" x14ac:dyDescent="0.2">
      <c r="A847" s="1">
        <v>45657</v>
      </c>
      <c r="B847">
        <v>2</v>
      </c>
      <c r="C847" t="s">
        <v>13</v>
      </c>
      <c r="D847" s="2">
        <v>0.40486111111111112</v>
      </c>
      <c r="E847">
        <v>21171.56</v>
      </c>
      <c r="F847" s="2">
        <v>0.40625</v>
      </c>
      <c r="G847">
        <v>21186.38</v>
      </c>
      <c r="H847">
        <v>21186.38</v>
      </c>
      <c r="I847">
        <v>21134.51</v>
      </c>
      <c r="J847" t="s">
        <v>15</v>
      </c>
      <c r="K847">
        <v>-14.82</v>
      </c>
      <c r="L847" s="9">
        <v>-1</v>
      </c>
      <c r="M847">
        <v>0</v>
      </c>
      <c r="N847">
        <v>4</v>
      </c>
    </row>
    <row r="848" spans="1:14" x14ac:dyDescent="0.2">
      <c r="A848" s="1">
        <v>45657</v>
      </c>
      <c r="B848">
        <v>2</v>
      </c>
      <c r="C848" t="s">
        <v>13</v>
      </c>
      <c r="D848" s="2">
        <v>0.42569444444444443</v>
      </c>
      <c r="E848">
        <v>21134.29</v>
      </c>
      <c r="F848" s="2">
        <v>0.42638888888888887</v>
      </c>
      <c r="G848">
        <v>21149.09</v>
      </c>
      <c r="H848">
        <v>21149.09</v>
      </c>
      <c r="I848">
        <v>21097.31</v>
      </c>
      <c r="J848" t="s">
        <v>15</v>
      </c>
      <c r="K848">
        <v>-14.79</v>
      </c>
      <c r="L848" s="9">
        <v>-1</v>
      </c>
      <c r="M848">
        <v>0</v>
      </c>
      <c r="N848">
        <v>5</v>
      </c>
    </row>
    <row r="849" spans="1:14" x14ac:dyDescent="0.2">
      <c r="A849" s="1">
        <v>45657</v>
      </c>
      <c r="B849">
        <v>2</v>
      </c>
      <c r="C849" t="s">
        <v>13</v>
      </c>
      <c r="D849" s="2">
        <v>0.44861111111111113</v>
      </c>
      <c r="E849">
        <v>21160.14</v>
      </c>
      <c r="F849" s="2">
        <v>0.45208333333333334</v>
      </c>
      <c r="G849">
        <v>21174.959999999999</v>
      </c>
      <c r="H849">
        <v>21174.959999999999</v>
      </c>
      <c r="I849">
        <v>21123.11</v>
      </c>
      <c r="J849" t="s">
        <v>15</v>
      </c>
      <c r="K849">
        <v>-14.81</v>
      </c>
      <c r="L849" s="9">
        <v>-1</v>
      </c>
      <c r="M849">
        <v>0</v>
      </c>
      <c r="N849">
        <v>6</v>
      </c>
    </row>
    <row r="850" spans="1:14" x14ac:dyDescent="0.2">
      <c r="A850" s="1">
        <v>45659</v>
      </c>
      <c r="B850">
        <v>4</v>
      </c>
      <c r="C850" t="s">
        <v>13</v>
      </c>
      <c r="D850" s="2">
        <v>0.39652777777777776</v>
      </c>
      <c r="E850">
        <v>21132.720000000001</v>
      </c>
      <c r="F850" s="2">
        <v>0.3972222222222222</v>
      </c>
      <c r="G850">
        <v>21147.51</v>
      </c>
      <c r="H850">
        <v>21147.51</v>
      </c>
      <c r="I850">
        <v>21095.74</v>
      </c>
      <c r="J850" t="s">
        <v>15</v>
      </c>
      <c r="K850">
        <v>-14.79</v>
      </c>
      <c r="L850" s="9">
        <v>-1</v>
      </c>
      <c r="M850">
        <v>0</v>
      </c>
      <c r="N850">
        <v>7</v>
      </c>
    </row>
    <row r="851" spans="1:14" x14ac:dyDescent="0.2">
      <c r="A851" s="1">
        <v>45659</v>
      </c>
      <c r="B851">
        <v>4</v>
      </c>
      <c r="C851" t="s">
        <v>16</v>
      </c>
      <c r="D851" s="2">
        <v>0.41736111111111113</v>
      </c>
      <c r="E851">
        <v>21171.7</v>
      </c>
      <c r="F851" s="2">
        <v>0.41875000000000001</v>
      </c>
      <c r="G851">
        <v>21156.880000000001</v>
      </c>
      <c r="H851">
        <v>21156.880000000001</v>
      </c>
      <c r="I851">
        <v>21208.75</v>
      </c>
      <c r="J851" t="s">
        <v>15</v>
      </c>
      <c r="K851">
        <v>-14.82</v>
      </c>
      <c r="L851" s="9">
        <v>-1</v>
      </c>
      <c r="M851">
        <v>0</v>
      </c>
      <c r="N851">
        <v>8</v>
      </c>
    </row>
    <row r="852" spans="1:14" x14ac:dyDescent="0.2">
      <c r="A852" s="1">
        <v>45663</v>
      </c>
      <c r="B852">
        <v>1</v>
      </c>
      <c r="C852" t="s">
        <v>16</v>
      </c>
      <c r="D852" s="2">
        <v>0.40208333333333335</v>
      </c>
      <c r="E852">
        <v>21580.959999999999</v>
      </c>
      <c r="F852" s="2">
        <v>0.40347222222222223</v>
      </c>
      <c r="G852">
        <v>21618.720000000001</v>
      </c>
      <c r="H852">
        <v>21565.85</v>
      </c>
      <c r="I852">
        <v>21618.720000000001</v>
      </c>
      <c r="J852" t="s">
        <v>14</v>
      </c>
      <c r="K852">
        <v>37.770000000000003</v>
      </c>
      <c r="L852" s="9">
        <v>2.5</v>
      </c>
      <c r="M852">
        <v>1</v>
      </c>
      <c r="N852">
        <v>0</v>
      </c>
    </row>
    <row r="853" spans="1:14" x14ac:dyDescent="0.2">
      <c r="A853" s="1">
        <v>45663</v>
      </c>
      <c r="B853">
        <v>1</v>
      </c>
      <c r="C853" t="s">
        <v>16</v>
      </c>
      <c r="D853" s="2">
        <v>0.42986111111111114</v>
      </c>
      <c r="E853">
        <v>21658.18</v>
      </c>
      <c r="F853" s="2">
        <v>0.44861111111111113</v>
      </c>
      <c r="G853">
        <v>21696.080000000002</v>
      </c>
      <c r="H853">
        <v>21643.02</v>
      </c>
      <c r="I853">
        <v>21696.080000000002</v>
      </c>
      <c r="J853" t="s">
        <v>14</v>
      </c>
      <c r="K853">
        <v>37.9</v>
      </c>
      <c r="L853" s="9">
        <v>2.5</v>
      </c>
      <c r="M853">
        <v>1</v>
      </c>
      <c r="N853">
        <v>2</v>
      </c>
    </row>
    <row r="854" spans="1:14" x14ac:dyDescent="0.2">
      <c r="A854" s="1">
        <v>45664</v>
      </c>
      <c r="B854">
        <v>2</v>
      </c>
      <c r="C854" t="s">
        <v>13</v>
      </c>
      <c r="D854" s="2">
        <v>0.40347222222222223</v>
      </c>
      <c r="E854">
        <v>21533.68</v>
      </c>
      <c r="F854" s="2">
        <v>0.40486111111111112</v>
      </c>
      <c r="G854">
        <v>21548.75</v>
      </c>
      <c r="H854">
        <v>21548.75</v>
      </c>
      <c r="I854">
        <v>21495.99</v>
      </c>
      <c r="J854" t="s">
        <v>15</v>
      </c>
      <c r="K854">
        <v>-15.07</v>
      </c>
      <c r="L854" s="9">
        <v>-1</v>
      </c>
      <c r="M854">
        <v>0</v>
      </c>
      <c r="N854">
        <v>0</v>
      </c>
    </row>
    <row r="855" spans="1:14" x14ac:dyDescent="0.2">
      <c r="A855" s="1">
        <v>45664</v>
      </c>
      <c r="B855">
        <v>2</v>
      </c>
      <c r="C855" t="s">
        <v>13</v>
      </c>
      <c r="D855" s="2">
        <v>0.41944444444444445</v>
      </c>
      <c r="E855">
        <v>21456.82</v>
      </c>
      <c r="F855" s="2">
        <v>0.4201388888888889</v>
      </c>
      <c r="G855">
        <v>21419.27</v>
      </c>
      <c r="H855">
        <v>21471.84</v>
      </c>
      <c r="I855">
        <v>21419.27</v>
      </c>
      <c r="J855" t="s">
        <v>14</v>
      </c>
      <c r="K855">
        <v>37.549999999999997</v>
      </c>
      <c r="L855" s="9">
        <v>2.5</v>
      </c>
      <c r="M855">
        <v>1</v>
      </c>
      <c r="N855">
        <v>0</v>
      </c>
    </row>
    <row r="856" spans="1:14" x14ac:dyDescent="0.2">
      <c r="A856" s="1">
        <v>45664</v>
      </c>
      <c r="B856">
        <v>2</v>
      </c>
      <c r="C856" t="s">
        <v>13</v>
      </c>
      <c r="D856" s="2">
        <v>0.44236111111111109</v>
      </c>
      <c r="E856">
        <v>21319.4</v>
      </c>
      <c r="F856" s="2">
        <v>0.44305555555555554</v>
      </c>
      <c r="G856">
        <v>21282.09</v>
      </c>
      <c r="H856">
        <v>21334.33</v>
      </c>
      <c r="I856">
        <v>21282.09</v>
      </c>
      <c r="J856" t="s">
        <v>14</v>
      </c>
      <c r="K856">
        <v>37.31</v>
      </c>
      <c r="L856" s="9">
        <v>2.5</v>
      </c>
      <c r="M856">
        <v>1</v>
      </c>
      <c r="N856">
        <v>2</v>
      </c>
    </row>
    <row r="857" spans="1:14" x14ac:dyDescent="0.2">
      <c r="A857" s="1">
        <v>45667</v>
      </c>
      <c r="B857">
        <v>5</v>
      </c>
      <c r="C857" t="s">
        <v>13</v>
      </c>
      <c r="D857" s="2">
        <v>0.40347222222222223</v>
      </c>
      <c r="E857">
        <v>20927.349999999999</v>
      </c>
      <c r="F857" s="2">
        <v>0.40486111111111112</v>
      </c>
      <c r="G857">
        <v>20942</v>
      </c>
      <c r="H857">
        <v>20942</v>
      </c>
      <c r="I857">
        <v>20890.73</v>
      </c>
      <c r="J857" t="s">
        <v>15</v>
      </c>
      <c r="K857">
        <v>-14.65</v>
      </c>
      <c r="L857" s="9">
        <v>-1</v>
      </c>
      <c r="M857">
        <v>0</v>
      </c>
      <c r="N857">
        <v>0</v>
      </c>
    </row>
    <row r="858" spans="1:14" x14ac:dyDescent="0.2">
      <c r="A858" s="1">
        <v>45667</v>
      </c>
      <c r="B858">
        <v>5</v>
      </c>
      <c r="C858" t="s">
        <v>16</v>
      </c>
      <c r="D858" s="2">
        <v>0.44444444444444442</v>
      </c>
      <c r="E858">
        <v>20885.7</v>
      </c>
      <c r="F858" s="2">
        <v>0.44722222222222224</v>
      </c>
      <c r="G858">
        <v>20871.080000000002</v>
      </c>
      <c r="H858">
        <v>20871.080000000002</v>
      </c>
      <c r="I858">
        <v>20922.25</v>
      </c>
      <c r="J858" t="s">
        <v>15</v>
      </c>
      <c r="K858">
        <v>-14.62</v>
      </c>
      <c r="L858" s="9">
        <v>-1</v>
      </c>
      <c r="M858">
        <v>0</v>
      </c>
      <c r="N858">
        <v>2</v>
      </c>
    </row>
    <row r="859" spans="1:14" x14ac:dyDescent="0.2">
      <c r="A859" s="1">
        <v>45670</v>
      </c>
      <c r="B859">
        <v>1</v>
      </c>
      <c r="C859" t="s">
        <v>13</v>
      </c>
      <c r="D859" s="2">
        <v>0.39583333333333331</v>
      </c>
      <c r="E859">
        <v>20605.830000000002</v>
      </c>
      <c r="F859" s="2">
        <v>0.3972222222222222</v>
      </c>
      <c r="G859">
        <v>20620.259999999998</v>
      </c>
      <c r="H859">
        <v>20620.259999999998</v>
      </c>
      <c r="I859">
        <v>20569.77</v>
      </c>
      <c r="J859" t="s">
        <v>15</v>
      </c>
      <c r="K859">
        <v>-14.42</v>
      </c>
      <c r="L859" s="9">
        <v>-1</v>
      </c>
      <c r="M859">
        <v>0</v>
      </c>
      <c r="N859">
        <v>3</v>
      </c>
    </row>
    <row r="860" spans="1:14" x14ac:dyDescent="0.2">
      <c r="A860" s="1">
        <v>45670</v>
      </c>
      <c r="B860">
        <v>1</v>
      </c>
      <c r="C860" t="s">
        <v>16</v>
      </c>
      <c r="D860" s="2">
        <v>0.42222222222222222</v>
      </c>
      <c r="E860">
        <v>20660.419999999998</v>
      </c>
      <c r="F860" s="2">
        <v>0.42291666666666666</v>
      </c>
      <c r="G860">
        <v>20645.96</v>
      </c>
      <c r="H860">
        <v>20645.96</v>
      </c>
      <c r="I860">
        <v>20696.57</v>
      </c>
      <c r="J860" t="s">
        <v>15</v>
      </c>
      <c r="K860">
        <v>-14.46</v>
      </c>
      <c r="L860" s="9">
        <v>-1</v>
      </c>
      <c r="M860">
        <v>0</v>
      </c>
      <c r="N860">
        <v>4</v>
      </c>
    </row>
    <row r="861" spans="1:14" x14ac:dyDescent="0.2">
      <c r="A861" s="1">
        <v>45670</v>
      </c>
      <c r="B861">
        <v>1</v>
      </c>
      <c r="C861" t="s">
        <v>13</v>
      </c>
      <c r="D861" s="2">
        <v>0.4375</v>
      </c>
      <c r="E861">
        <v>20570.47</v>
      </c>
      <c r="F861" s="2">
        <v>0.43819444444444444</v>
      </c>
      <c r="G861">
        <v>20584.87</v>
      </c>
      <c r="H861">
        <v>20584.87</v>
      </c>
      <c r="I861">
        <v>20534.47</v>
      </c>
      <c r="J861" t="s">
        <v>15</v>
      </c>
      <c r="K861">
        <v>-14.4</v>
      </c>
      <c r="L861" s="9">
        <v>-1</v>
      </c>
      <c r="M861">
        <v>0</v>
      </c>
      <c r="N861">
        <v>5</v>
      </c>
    </row>
    <row r="862" spans="1:14" x14ac:dyDescent="0.2">
      <c r="A862" s="1">
        <v>45671</v>
      </c>
      <c r="B862">
        <v>2</v>
      </c>
      <c r="C862" t="s">
        <v>16</v>
      </c>
      <c r="D862" s="2">
        <v>0.40486111111111112</v>
      </c>
      <c r="E862">
        <v>20939.759999999998</v>
      </c>
      <c r="F862" s="2">
        <v>0.40555555555555556</v>
      </c>
      <c r="G862">
        <v>20925.099999999999</v>
      </c>
      <c r="H862">
        <v>20925.099999999999</v>
      </c>
      <c r="I862">
        <v>20976.400000000001</v>
      </c>
      <c r="J862" t="s">
        <v>15</v>
      </c>
      <c r="K862">
        <v>-14.66</v>
      </c>
      <c r="L862" s="9">
        <v>-1</v>
      </c>
      <c r="M862">
        <v>0</v>
      </c>
      <c r="N862">
        <v>6</v>
      </c>
    </row>
    <row r="863" spans="1:14" x14ac:dyDescent="0.2">
      <c r="A863" s="1">
        <v>45671</v>
      </c>
      <c r="B863">
        <v>2</v>
      </c>
      <c r="C863" t="s">
        <v>13</v>
      </c>
      <c r="D863" s="2">
        <v>0.41736111111111113</v>
      </c>
      <c r="E863">
        <v>20824.650000000001</v>
      </c>
      <c r="F863" s="2">
        <v>0.41805555555555557</v>
      </c>
      <c r="G863">
        <v>20839.23</v>
      </c>
      <c r="H863">
        <v>20839.23</v>
      </c>
      <c r="I863">
        <v>20788.21</v>
      </c>
      <c r="J863" t="s">
        <v>15</v>
      </c>
      <c r="K863">
        <v>-14.58</v>
      </c>
      <c r="L863" s="9">
        <v>-1</v>
      </c>
      <c r="M863">
        <v>0</v>
      </c>
      <c r="N863">
        <v>7</v>
      </c>
    </row>
    <row r="864" spans="1:14" x14ac:dyDescent="0.2">
      <c r="A864" s="1">
        <v>45671</v>
      </c>
      <c r="B864">
        <v>2</v>
      </c>
      <c r="C864" t="s">
        <v>16</v>
      </c>
      <c r="D864" s="2">
        <v>0.42986111111111114</v>
      </c>
      <c r="E864">
        <v>20924.37</v>
      </c>
      <c r="F864" s="2">
        <v>0.43055555555555558</v>
      </c>
      <c r="G864">
        <v>20909.72</v>
      </c>
      <c r="H864">
        <v>20909.72</v>
      </c>
      <c r="I864">
        <v>20960.990000000002</v>
      </c>
      <c r="J864" t="s">
        <v>15</v>
      </c>
      <c r="K864">
        <v>-14.65</v>
      </c>
      <c r="L864" s="9">
        <v>-1</v>
      </c>
      <c r="M864">
        <v>0</v>
      </c>
      <c r="N864">
        <v>8</v>
      </c>
    </row>
    <row r="865" spans="1:14" x14ac:dyDescent="0.2">
      <c r="A865" s="1">
        <v>45672</v>
      </c>
      <c r="B865">
        <v>3</v>
      </c>
      <c r="C865" t="s">
        <v>16</v>
      </c>
      <c r="D865" s="2">
        <v>0.40972222222222221</v>
      </c>
      <c r="E865">
        <v>21163.38</v>
      </c>
      <c r="F865" s="2">
        <v>0.41180555555555554</v>
      </c>
      <c r="G865">
        <v>21148.57</v>
      </c>
      <c r="H865">
        <v>21148.57</v>
      </c>
      <c r="I865">
        <v>21200.42</v>
      </c>
      <c r="J865" t="s">
        <v>15</v>
      </c>
      <c r="K865">
        <v>-14.81</v>
      </c>
      <c r="L865" s="9">
        <v>-1</v>
      </c>
      <c r="M865">
        <v>0</v>
      </c>
      <c r="N865">
        <v>9</v>
      </c>
    </row>
    <row r="866" spans="1:14" x14ac:dyDescent="0.2">
      <c r="A866" s="1">
        <v>45672</v>
      </c>
      <c r="B866">
        <v>3</v>
      </c>
      <c r="C866" t="s">
        <v>13</v>
      </c>
      <c r="D866" s="2">
        <v>0.44930555555555557</v>
      </c>
      <c r="E866">
        <v>21208.29</v>
      </c>
      <c r="F866" s="2">
        <v>0.45694444444444443</v>
      </c>
      <c r="G866">
        <v>21171.17</v>
      </c>
      <c r="H866">
        <v>21223.13</v>
      </c>
      <c r="I866">
        <v>21171.17</v>
      </c>
      <c r="J866" t="s">
        <v>14</v>
      </c>
      <c r="K866">
        <v>37.11</v>
      </c>
      <c r="L866" s="9">
        <v>2.5</v>
      </c>
      <c r="M866">
        <v>1</v>
      </c>
      <c r="N866">
        <v>0</v>
      </c>
    </row>
    <row r="867" spans="1:14" x14ac:dyDescent="0.2">
      <c r="A867" s="1">
        <v>45673</v>
      </c>
      <c r="B867">
        <v>4</v>
      </c>
      <c r="C867" t="s">
        <v>13</v>
      </c>
      <c r="D867" s="2">
        <v>0.40902777777777777</v>
      </c>
      <c r="E867">
        <v>21234.29</v>
      </c>
      <c r="F867" s="2">
        <v>0.41111111111111109</v>
      </c>
      <c r="G867">
        <v>21249.15</v>
      </c>
      <c r="H867">
        <v>21249.15</v>
      </c>
      <c r="I867">
        <v>21197.13</v>
      </c>
      <c r="J867" t="s">
        <v>15</v>
      </c>
      <c r="K867">
        <v>-14.86</v>
      </c>
      <c r="L867" s="9">
        <v>-1</v>
      </c>
      <c r="M867">
        <v>0</v>
      </c>
      <c r="N867">
        <v>0</v>
      </c>
    </row>
    <row r="868" spans="1:14" x14ac:dyDescent="0.2">
      <c r="A868" s="1">
        <v>45673</v>
      </c>
      <c r="B868">
        <v>4</v>
      </c>
      <c r="C868" t="s">
        <v>13</v>
      </c>
      <c r="D868" s="2">
        <v>0.4513888888888889</v>
      </c>
      <c r="E868">
        <v>21204.67</v>
      </c>
      <c r="F868" s="2">
        <v>0.45208333333333334</v>
      </c>
      <c r="G868">
        <v>21219.51</v>
      </c>
      <c r="H868">
        <v>21219.51</v>
      </c>
      <c r="I868">
        <v>21167.56</v>
      </c>
      <c r="J868" t="s">
        <v>15</v>
      </c>
      <c r="K868">
        <v>-14.84</v>
      </c>
      <c r="L868" s="9">
        <v>-1</v>
      </c>
      <c r="M868">
        <v>0</v>
      </c>
      <c r="N868">
        <v>2</v>
      </c>
    </row>
    <row r="869" spans="1:14" x14ac:dyDescent="0.2">
      <c r="A869" s="1">
        <v>45674</v>
      </c>
      <c r="B869">
        <v>5</v>
      </c>
      <c r="C869" t="s">
        <v>16</v>
      </c>
      <c r="D869" s="2">
        <v>0.39583333333333331</v>
      </c>
      <c r="E869">
        <v>21482.29</v>
      </c>
      <c r="F869" s="2">
        <v>0.39652777777777776</v>
      </c>
      <c r="G869">
        <v>21467.26</v>
      </c>
      <c r="H869">
        <v>21467.26</v>
      </c>
      <c r="I869">
        <v>21519.89</v>
      </c>
      <c r="J869" t="s">
        <v>15</v>
      </c>
      <c r="K869">
        <v>-15.04</v>
      </c>
      <c r="L869" s="9">
        <v>-1</v>
      </c>
      <c r="M869">
        <v>0</v>
      </c>
      <c r="N869">
        <v>3</v>
      </c>
    </row>
    <row r="870" spans="1:14" x14ac:dyDescent="0.2">
      <c r="A870" s="1">
        <v>45674</v>
      </c>
      <c r="B870">
        <v>5</v>
      </c>
      <c r="C870" t="s">
        <v>13</v>
      </c>
      <c r="D870" s="2">
        <v>0.40486111111111112</v>
      </c>
      <c r="E870">
        <v>21377.77</v>
      </c>
      <c r="F870" s="2">
        <v>0.40625</v>
      </c>
      <c r="G870">
        <v>21392.74</v>
      </c>
      <c r="H870">
        <v>21392.74</v>
      </c>
      <c r="I870">
        <v>21340.36</v>
      </c>
      <c r="J870" t="s">
        <v>15</v>
      </c>
      <c r="K870">
        <v>-14.96</v>
      </c>
      <c r="L870" s="9">
        <v>-1</v>
      </c>
      <c r="M870">
        <v>0</v>
      </c>
      <c r="N870">
        <v>4</v>
      </c>
    </row>
    <row r="871" spans="1:14" x14ac:dyDescent="0.2">
      <c r="A871" s="1">
        <v>45674</v>
      </c>
      <c r="B871">
        <v>5</v>
      </c>
      <c r="C871" t="s">
        <v>16</v>
      </c>
      <c r="D871" s="2">
        <v>0.45347222222222222</v>
      </c>
      <c r="E871">
        <v>21414.07</v>
      </c>
      <c r="F871" s="2">
        <v>0.47291666666666665</v>
      </c>
      <c r="G871">
        <v>21451.54</v>
      </c>
      <c r="H871">
        <v>21399.08</v>
      </c>
      <c r="I871">
        <v>21451.54</v>
      </c>
      <c r="J871" t="s">
        <v>14</v>
      </c>
      <c r="K871">
        <v>37.47</v>
      </c>
      <c r="L871" s="9">
        <v>2.5</v>
      </c>
      <c r="M871">
        <v>1</v>
      </c>
      <c r="N871">
        <v>0</v>
      </c>
    </row>
    <row r="872" spans="1:14" x14ac:dyDescent="0.2">
      <c r="A872" s="1">
        <v>45677</v>
      </c>
      <c r="B872">
        <v>1</v>
      </c>
      <c r="C872" t="s">
        <v>16</v>
      </c>
      <c r="D872" s="2">
        <v>0.39583333333333331</v>
      </c>
      <c r="E872">
        <v>21569.14</v>
      </c>
      <c r="F872" s="2">
        <v>0.40347222222222223</v>
      </c>
      <c r="G872">
        <v>21606.89</v>
      </c>
      <c r="H872">
        <v>21554.04</v>
      </c>
      <c r="I872">
        <v>21606.89</v>
      </c>
      <c r="J872" t="s">
        <v>14</v>
      </c>
      <c r="K872">
        <v>37.75</v>
      </c>
      <c r="L872" s="9">
        <v>2.5</v>
      </c>
      <c r="M872">
        <v>1</v>
      </c>
      <c r="N872">
        <v>2</v>
      </c>
    </row>
    <row r="873" spans="1:14" x14ac:dyDescent="0.2">
      <c r="A873" s="1">
        <v>45677</v>
      </c>
      <c r="B873">
        <v>1</v>
      </c>
      <c r="C873" t="s">
        <v>13</v>
      </c>
      <c r="D873" s="2">
        <v>0.42986111111111114</v>
      </c>
      <c r="E873">
        <v>21562.12</v>
      </c>
      <c r="F873" s="2">
        <v>0.43819444444444444</v>
      </c>
      <c r="G873">
        <v>21524.38</v>
      </c>
      <c r="H873">
        <v>21577.21</v>
      </c>
      <c r="I873">
        <v>21524.38</v>
      </c>
      <c r="J873" t="s">
        <v>14</v>
      </c>
      <c r="K873">
        <v>37.729999999999997</v>
      </c>
      <c r="L873" s="9">
        <v>2.5</v>
      </c>
      <c r="M873">
        <v>1</v>
      </c>
      <c r="N873">
        <v>3</v>
      </c>
    </row>
    <row r="874" spans="1:14" x14ac:dyDescent="0.2">
      <c r="A874" s="1">
        <v>45678</v>
      </c>
      <c r="B874">
        <v>2</v>
      </c>
      <c r="C874" t="s">
        <v>13</v>
      </c>
      <c r="D874" s="2">
        <v>0.40416666666666667</v>
      </c>
      <c r="E874">
        <v>21472.39</v>
      </c>
      <c r="F874" s="2">
        <v>0.40763888888888888</v>
      </c>
      <c r="G874">
        <v>21487.42</v>
      </c>
      <c r="H874">
        <v>21487.42</v>
      </c>
      <c r="I874">
        <v>21434.81</v>
      </c>
      <c r="J874" t="s">
        <v>15</v>
      </c>
      <c r="K874">
        <v>-15.03</v>
      </c>
      <c r="L874" s="9">
        <v>-1</v>
      </c>
      <c r="M874">
        <v>0</v>
      </c>
      <c r="N874">
        <v>0</v>
      </c>
    </row>
    <row r="875" spans="1:14" x14ac:dyDescent="0.2">
      <c r="A875" s="1">
        <v>45678</v>
      </c>
      <c r="B875">
        <v>2</v>
      </c>
      <c r="C875" t="s">
        <v>13</v>
      </c>
      <c r="D875" s="2">
        <v>0.42777777777777776</v>
      </c>
      <c r="E875">
        <v>21404.57</v>
      </c>
      <c r="F875" s="2">
        <v>0.4284722222222222</v>
      </c>
      <c r="G875">
        <v>21419.55</v>
      </c>
      <c r="H875">
        <v>21419.55</v>
      </c>
      <c r="I875">
        <v>21367.11</v>
      </c>
      <c r="J875" t="s">
        <v>15</v>
      </c>
      <c r="K875">
        <v>-14.98</v>
      </c>
      <c r="L875" s="9">
        <v>-1</v>
      </c>
      <c r="M875">
        <v>0</v>
      </c>
      <c r="N875">
        <v>2</v>
      </c>
    </row>
    <row r="876" spans="1:14" x14ac:dyDescent="0.2">
      <c r="A876" s="1">
        <v>45678</v>
      </c>
      <c r="B876">
        <v>2</v>
      </c>
      <c r="C876" t="s">
        <v>16</v>
      </c>
      <c r="D876" s="2">
        <v>0.44722222222222224</v>
      </c>
      <c r="E876">
        <v>21482.12</v>
      </c>
      <c r="F876" s="2">
        <v>0.44791666666666669</v>
      </c>
      <c r="G876">
        <v>21467.08</v>
      </c>
      <c r="H876">
        <v>21467.08</v>
      </c>
      <c r="I876">
        <v>21519.71</v>
      </c>
      <c r="J876" t="s">
        <v>15</v>
      </c>
      <c r="K876">
        <v>-15.04</v>
      </c>
      <c r="L876" s="9">
        <v>-1</v>
      </c>
      <c r="M876">
        <v>0</v>
      </c>
      <c r="N876">
        <v>3</v>
      </c>
    </row>
    <row r="877" spans="1:14" x14ac:dyDescent="0.2">
      <c r="A877" s="1">
        <v>45679</v>
      </c>
      <c r="B877">
        <v>3</v>
      </c>
      <c r="C877" t="s">
        <v>16</v>
      </c>
      <c r="D877" s="2">
        <v>0.40763888888888888</v>
      </c>
      <c r="E877">
        <v>21810.9</v>
      </c>
      <c r="F877" s="2">
        <v>0.41111111111111109</v>
      </c>
      <c r="G877">
        <v>21849.07</v>
      </c>
      <c r="H877">
        <v>21795.63</v>
      </c>
      <c r="I877">
        <v>21849.07</v>
      </c>
      <c r="J877" t="s">
        <v>14</v>
      </c>
      <c r="K877">
        <v>38.17</v>
      </c>
      <c r="L877" s="9">
        <v>2.5</v>
      </c>
      <c r="M877">
        <v>1</v>
      </c>
      <c r="N877">
        <v>0</v>
      </c>
    </row>
    <row r="878" spans="1:14" x14ac:dyDescent="0.2">
      <c r="A878" s="1">
        <v>45680</v>
      </c>
      <c r="B878">
        <v>4</v>
      </c>
      <c r="C878" t="s">
        <v>16</v>
      </c>
      <c r="D878" s="2">
        <v>0.41111111111111109</v>
      </c>
      <c r="E878">
        <v>21765.5</v>
      </c>
      <c r="F878" s="2">
        <v>0.41319444444444442</v>
      </c>
      <c r="G878">
        <v>21750.26</v>
      </c>
      <c r="H878">
        <v>21750.26</v>
      </c>
      <c r="I878">
        <v>21803.59</v>
      </c>
      <c r="J878" t="s">
        <v>15</v>
      </c>
      <c r="K878">
        <v>-15.24</v>
      </c>
      <c r="L878" s="9">
        <v>-1</v>
      </c>
      <c r="M878">
        <v>0</v>
      </c>
      <c r="N878">
        <v>0</v>
      </c>
    </row>
    <row r="879" spans="1:14" x14ac:dyDescent="0.2">
      <c r="A879" s="1">
        <v>45680</v>
      </c>
      <c r="B879">
        <v>4</v>
      </c>
      <c r="C879" t="s">
        <v>16</v>
      </c>
      <c r="D879" s="2">
        <v>0.44444444444444442</v>
      </c>
      <c r="E879">
        <v>21782.25</v>
      </c>
      <c r="F879" s="2">
        <v>0.46597222222222223</v>
      </c>
      <c r="G879">
        <v>21767</v>
      </c>
      <c r="H879">
        <v>21767</v>
      </c>
      <c r="I879">
        <v>21820.37</v>
      </c>
      <c r="J879" t="s">
        <v>15</v>
      </c>
      <c r="K879">
        <v>-15.25</v>
      </c>
      <c r="L879" s="9">
        <v>-1</v>
      </c>
      <c r="M879">
        <v>0</v>
      </c>
      <c r="N879">
        <v>2</v>
      </c>
    </row>
    <row r="880" spans="1:14" x14ac:dyDescent="0.2">
      <c r="A880" s="1">
        <v>45684</v>
      </c>
      <c r="B880">
        <v>1</v>
      </c>
      <c r="C880" t="s">
        <v>16</v>
      </c>
      <c r="D880" s="2">
        <v>0.40138888888888891</v>
      </c>
      <c r="E880">
        <v>21102.639999999999</v>
      </c>
      <c r="F880" s="2">
        <v>0.40208333333333335</v>
      </c>
      <c r="G880">
        <v>21139.57</v>
      </c>
      <c r="H880">
        <v>21087.87</v>
      </c>
      <c r="I880">
        <v>21139.57</v>
      </c>
      <c r="J880" t="s">
        <v>14</v>
      </c>
      <c r="K880">
        <v>36.93</v>
      </c>
      <c r="L880" s="9">
        <v>2.5</v>
      </c>
      <c r="M880">
        <v>1</v>
      </c>
      <c r="N880">
        <v>0</v>
      </c>
    </row>
    <row r="881" spans="1:14" x14ac:dyDescent="0.2">
      <c r="A881" s="1">
        <v>45684</v>
      </c>
      <c r="B881">
        <v>1</v>
      </c>
      <c r="C881" t="s">
        <v>16</v>
      </c>
      <c r="D881" s="2">
        <v>0.44097222222222221</v>
      </c>
      <c r="E881">
        <v>21246.11</v>
      </c>
      <c r="F881" s="2">
        <v>0.44930555555555557</v>
      </c>
      <c r="G881">
        <v>21231.23</v>
      </c>
      <c r="H881">
        <v>21231.23</v>
      </c>
      <c r="I881">
        <v>21283.29</v>
      </c>
      <c r="J881" t="s">
        <v>15</v>
      </c>
      <c r="K881">
        <v>-14.87</v>
      </c>
      <c r="L881" s="9">
        <v>-1</v>
      </c>
      <c r="M881">
        <v>0</v>
      </c>
      <c r="N881">
        <v>0</v>
      </c>
    </row>
    <row r="882" spans="1:14" x14ac:dyDescent="0.2">
      <c r="A882" s="1">
        <v>45687</v>
      </c>
      <c r="B882">
        <v>4</v>
      </c>
      <c r="C882" t="s">
        <v>16</v>
      </c>
      <c r="D882" s="2">
        <v>0.41111111111111109</v>
      </c>
      <c r="E882">
        <v>21600.71</v>
      </c>
      <c r="F882" s="2">
        <v>0.41180555555555554</v>
      </c>
      <c r="G882">
        <v>21585.58</v>
      </c>
      <c r="H882">
        <v>21585.58</v>
      </c>
      <c r="I882">
        <v>21638.51</v>
      </c>
      <c r="J882" t="s">
        <v>15</v>
      </c>
      <c r="K882">
        <v>-15.12</v>
      </c>
      <c r="L882" s="9">
        <v>-1</v>
      </c>
      <c r="M882">
        <v>0</v>
      </c>
      <c r="N882">
        <v>2</v>
      </c>
    </row>
    <row r="883" spans="1:14" x14ac:dyDescent="0.2">
      <c r="A883" s="1">
        <v>45687</v>
      </c>
      <c r="B883">
        <v>4</v>
      </c>
      <c r="C883" t="s">
        <v>13</v>
      </c>
      <c r="D883" s="2">
        <v>0.43125000000000002</v>
      </c>
      <c r="E883">
        <v>21453.72</v>
      </c>
      <c r="F883" s="2">
        <v>0.43333333333333335</v>
      </c>
      <c r="G883">
        <v>21468.74</v>
      </c>
      <c r="H883">
        <v>21468.74</v>
      </c>
      <c r="I883">
        <v>21416.18</v>
      </c>
      <c r="J883" t="s">
        <v>15</v>
      </c>
      <c r="K883">
        <v>-15.02</v>
      </c>
      <c r="L883" s="9">
        <v>-1</v>
      </c>
      <c r="M883">
        <v>0</v>
      </c>
      <c r="N883">
        <v>3</v>
      </c>
    </row>
    <row r="884" spans="1:14" x14ac:dyDescent="0.2">
      <c r="A884" s="1">
        <v>45688</v>
      </c>
      <c r="B884">
        <v>5</v>
      </c>
      <c r="C884" t="s">
        <v>16</v>
      </c>
      <c r="D884" s="2">
        <v>0.41388888888888886</v>
      </c>
      <c r="E884">
        <v>21728.93</v>
      </c>
      <c r="F884" s="2">
        <v>0.4152777777777778</v>
      </c>
      <c r="G884">
        <v>21713.72</v>
      </c>
      <c r="H884">
        <v>21713.72</v>
      </c>
      <c r="I884">
        <v>21766.959999999999</v>
      </c>
      <c r="J884" t="s">
        <v>15</v>
      </c>
      <c r="K884">
        <v>-15.21</v>
      </c>
      <c r="L884" s="9">
        <v>-1</v>
      </c>
      <c r="M884">
        <v>0</v>
      </c>
      <c r="N884">
        <v>4</v>
      </c>
    </row>
    <row r="885" spans="1:14" x14ac:dyDescent="0.2">
      <c r="A885" s="1">
        <v>45688</v>
      </c>
      <c r="B885">
        <v>5</v>
      </c>
      <c r="C885" t="s">
        <v>16</v>
      </c>
      <c r="D885" s="2">
        <v>0.44236111111111109</v>
      </c>
      <c r="E885">
        <v>21805.65</v>
      </c>
      <c r="F885" s="2">
        <v>0.44513888888888886</v>
      </c>
      <c r="G885">
        <v>21790.39</v>
      </c>
      <c r="H885">
        <v>21790.39</v>
      </c>
      <c r="I885">
        <v>21843.81</v>
      </c>
      <c r="J885" t="s">
        <v>15</v>
      </c>
      <c r="K885">
        <v>-15.26</v>
      </c>
      <c r="L885" s="9">
        <v>-1</v>
      </c>
      <c r="M885">
        <v>0</v>
      </c>
      <c r="N885">
        <v>5</v>
      </c>
    </row>
    <row r="886" spans="1:14" x14ac:dyDescent="0.2">
      <c r="A886" s="1">
        <v>45692</v>
      </c>
      <c r="B886">
        <v>2</v>
      </c>
      <c r="C886" t="s">
        <v>16</v>
      </c>
      <c r="D886" s="2">
        <v>0.40347222222222223</v>
      </c>
      <c r="E886">
        <v>21382.37</v>
      </c>
      <c r="F886" s="2">
        <v>0.40972222222222221</v>
      </c>
      <c r="G886">
        <v>21419.79</v>
      </c>
      <c r="H886">
        <v>21367.4</v>
      </c>
      <c r="I886">
        <v>21419.79</v>
      </c>
      <c r="J886" t="s">
        <v>14</v>
      </c>
      <c r="K886">
        <v>37.42</v>
      </c>
      <c r="L886" s="9">
        <v>2.5</v>
      </c>
      <c r="M886">
        <v>1</v>
      </c>
      <c r="N886">
        <v>0</v>
      </c>
    </row>
    <row r="887" spans="1:14" x14ac:dyDescent="0.2">
      <c r="A887" s="1">
        <v>45694</v>
      </c>
      <c r="B887">
        <v>4</v>
      </c>
      <c r="C887" t="s">
        <v>16</v>
      </c>
      <c r="D887" s="2">
        <v>0.4284722222222222</v>
      </c>
      <c r="E887">
        <v>21729.39</v>
      </c>
      <c r="F887" s="2">
        <v>0.43333333333333335</v>
      </c>
      <c r="G887">
        <v>21714.18</v>
      </c>
      <c r="H887">
        <v>21714.18</v>
      </c>
      <c r="I887">
        <v>21767.41</v>
      </c>
      <c r="J887" t="s">
        <v>15</v>
      </c>
      <c r="K887">
        <v>-15.21</v>
      </c>
      <c r="L887" s="9">
        <v>-1</v>
      </c>
      <c r="M887">
        <v>0</v>
      </c>
      <c r="N887">
        <v>0</v>
      </c>
    </row>
    <row r="888" spans="1:14" x14ac:dyDescent="0.2">
      <c r="A888" s="1">
        <v>45694</v>
      </c>
      <c r="B888">
        <v>4</v>
      </c>
      <c r="C888" t="s">
        <v>13</v>
      </c>
      <c r="D888" s="2">
        <v>0.4513888888888889</v>
      </c>
      <c r="E888">
        <v>21654.31</v>
      </c>
      <c r="F888" s="2">
        <v>0.4548611111111111</v>
      </c>
      <c r="G888">
        <v>21669.47</v>
      </c>
      <c r="H888">
        <v>21669.47</v>
      </c>
      <c r="I888">
        <v>21616.42</v>
      </c>
      <c r="J888" t="s">
        <v>15</v>
      </c>
      <c r="K888">
        <v>-15.16</v>
      </c>
      <c r="L888" s="9">
        <v>-1</v>
      </c>
      <c r="M888">
        <v>0</v>
      </c>
      <c r="N888">
        <v>2</v>
      </c>
    </row>
    <row r="889" spans="1:14" x14ac:dyDescent="0.2">
      <c r="A889" s="1">
        <v>45695</v>
      </c>
      <c r="B889">
        <v>5</v>
      </c>
      <c r="C889" t="s">
        <v>16</v>
      </c>
      <c r="D889" s="2">
        <v>0.39930555555555558</v>
      </c>
      <c r="E889">
        <v>21835.09</v>
      </c>
      <c r="F889" s="2">
        <v>0.41388888888888886</v>
      </c>
      <c r="G889">
        <v>21819.8</v>
      </c>
      <c r="H889">
        <v>21819.8</v>
      </c>
      <c r="I889">
        <v>21873.3</v>
      </c>
      <c r="J889" t="s">
        <v>15</v>
      </c>
      <c r="K889">
        <v>-15.28</v>
      </c>
      <c r="L889" s="9">
        <v>-1</v>
      </c>
      <c r="M889">
        <v>0</v>
      </c>
      <c r="N889">
        <v>3</v>
      </c>
    </row>
    <row r="890" spans="1:14" x14ac:dyDescent="0.2">
      <c r="A890" s="1">
        <v>45695</v>
      </c>
      <c r="B890">
        <v>5</v>
      </c>
      <c r="C890" t="s">
        <v>13</v>
      </c>
      <c r="D890" s="2">
        <v>0.42083333333333334</v>
      </c>
      <c r="E890">
        <v>21687.06</v>
      </c>
      <c r="F890" s="2">
        <v>0.4236111111111111</v>
      </c>
      <c r="G890">
        <v>21649.11</v>
      </c>
      <c r="H890">
        <v>21702.240000000002</v>
      </c>
      <c r="I890">
        <v>21649.11</v>
      </c>
      <c r="J890" t="s">
        <v>14</v>
      </c>
      <c r="K890">
        <v>37.950000000000003</v>
      </c>
      <c r="L890" s="9">
        <v>2.5</v>
      </c>
      <c r="M890">
        <v>1</v>
      </c>
      <c r="N890">
        <v>0</v>
      </c>
    </row>
    <row r="891" spans="1:14" x14ac:dyDescent="0.2">
      <c r="A891" s="1">
        <v>45698</v>
      </c>
      <c r="B891">
        <v>1</v>
      </c>
      <c r="C891" t="s">
        <v>16</v>
      </c>
      <c r="D891" s="2">
        <v>0.40763888888888888</v>
      </c>
      <c r="E891">
        <v>21694.44</v>
      </c>
      <c r="F891" s="2">
        <v>0.40833333333333333</v>
      </c>
      <c r="G891">
        <v>21679.26</v>
      </c>
      <c r="H891">
        <v>21679.26</v>
      </c>
      <c r="I891">
        <v>21732.41</v>
      </c>
      <c r="J891" t="s">
        <v>15</v>
      </c>
      <c r="K891">
        <v>-15.19</v>
      </c>
      <c r="L891" s="9">
        <v>-1</v>
      </c>
      <c r="M891">
        <v>0</v>
      </c>
      <c r="N891">
        <v>0</v>
      </c>
    </row>
    <row r="892" spans="1:14" x14ac:dyDescent="0.2">
      <c r="A892" s="1">
        <v>45698</v>
      </c>
      <c r="B892">
        <v>1</v>
      </c>
      <c r="C892" t="s">
        <v>16</v>
      </c>
      <c r="D892" s="2">
        <v>0.41875000000000001</v>
      </c>
      <c r="E892">
        <v>21701.119999999999</v>
      </c>
      <c r="F892" s="2">
        <v>0.4201388888888889</v>
      </c>
      <c r="G892">
        <v>21739.1</v>
      </c>
      <c r="H892">
        <v>21685.93</v>
      </c>
      <c r="I892">
        <v>21739.1</v>
      </c>
      <c r="J892" t="s">
        <v>14</v>
      </c>
      <c r="K892">
        <v>37.979999999999997</v>
      </c>
      <c r="L892" s="9">
        <v>2.5</v>
      </c>
      <c r="M892">
        <v>1</v>
      </c>
      <c r="N892">
        <v>0</v>
      </c>
    </row>
    <row r="893" spans="1:14" x14ac:dyDescent="0.2">
      <c r="A893" s="1">
        <v>45699</v>
      </c>
      <c r="B893">
        <v>2</v>
      </c>
      <c r="C893" t="s">
        <v>16</v>
      </c>
      <c r="D893" s="2">
        <v>0.40138888888888891</v>
      </c>
      <c r="E893">
        <v>21679.74</v>
      </c>
      <c r="F893" s="2">
        <v>0.41666666666666669</v>
      </c>
      <c r="G893">
        <v>21717.68</v>
      </c>
      <c r="H893">
        <v>21664.560000000001</v>
      </c>
      <c r="I893">
        <v>21717.68</v>
      </c>
      <c r="J893" t="s">
        <v>14</v>
      </c>
      <c r="K893">
        <v>37.94</v>
      </c>
      <c r="L893" s="9">
        <v>2.5</v>
      </c>
      <c r="M893">
        <v>1</v>
      </c>
      <c r="N893">
        <v>2</v>
      </c>
    </row>
    <row r="894" spans="1:14" x14ac:dyDescent="0.2">
      <c r="A894" s="1">
        <v>45699</v>
      </c>
      <c r="B894">
        <v>2</v>
      </c>
      <c r="C894" t="s">
        <v>16</v>
      </c>
      <c r="D894" s="2">
        <v>0.42986111111111114</v>
      </c>
      <c r="E894">
        <v>21708.69</v>
      </c>
      <c r="F894" s="2">
        <v>0.43125000000000002</v>
      </c>
      <c r="G894">
        <v>21693.49</v>
      </c>
      <c r="H894">
        <v>21693.49</v>
      </c>
      <c r="I894">
        <v>21746.68</v>
      </c>
      <c r="J894" t="s">
        <v>15</v>
      </c>
      <c r="K894">
        <v>-15.2</v>
      </c>
      <c r="L894" s="9">
        <v>-1</v>
      </c>
      <c r="M894">
        <v>0</v>
      </c>
      <c r="N894">
        <v>0</v>
      </c>
    </row>
    <row r="895" spans="1:14" x14ac:dyDescent="0.2">
      <c r="A895" s="1">
        <v>45700</v>
      </c>
      <c r="B895">
        <v>3</v>
      </c>
      <c r="C895" t="s">
        <v>16</v>
      </c>
      <c r="D895" s="2">
        <v>0.40902777777777777</v>
      </c>
      <c r="E895">
        <v>21569.86</v>
      </c>
      <c r="F895" s="2">
        <v>0.41666666666666669</v>
      </c>
      <c r="G895">
        <v>21554.76</v>
      </c>
      <c r="H895">
        <v>21554.76</v>
      </c>
      <c r="I895">
        <v>21607.599999999999</v>
      </c>
      <c r="J895" t="s">
        <v>15</v>
      </c>
      <c r="K895">
        <v>-15.1</v>
      </c>
      <c r="L895" s="9">
        <v>-1</v>
      </c>
      <c r="M895">
        <v>0</v>
      </c>
      <c r="N895">
        <v>2</v>
      </c>
    </row>
    <row r="896" spans="1:14" x14ac:dyDescent="0.2">
      <c r="A896" s="1">
        <v>45700</v>
      </c>
      <c r="B896">
        <v>3</v>
      </c>
      <c r="C896" t="s">
        <v>13</v>
      </c>
      <c r="D896" s="2">
        <v>0.42638888888888887</v>
      </c>
      <c r="E896">
        <v>21506.89</v>
      </c>
      <c r="F896" s="2">
        <v>0.42708333333333331</v>
      </c>
      <c r="G896">
        <v>21521.94</v>
      </c>
      <c r="H896">
        <v>21521.94</v>
      </c>
      <c r="I896">
        <v>21469.25</v>
      </c>
      <c r="J896" t="s">
        <v>15</v>
      </c>
      <c r="K896">
        <v>-15.05</v>
      </c>
      <c r="L896" s="9">
        <v>-1</v>
      </c>
      <c r="M896">
        <v>0</v>
      </c>
      <c r="N896">
        <v>3</v>
      </c>
    </row>
    <row r="897" spans="1:14" x14ac:dyDescent="0.2">
      <c r="A897" s="1">
        <v>45700</v>
      </c>
      <c r="B897">
        <v>3</v>
      </c>
      <c r="C897" t="s">
        <v>16</v>
      </c>
      <c r="D897" s="2">
        <v>0.43541666666666667</v>
      </c>
      <c r="E897">
        <v>21612.799999999999</v>
      </c>
      <c r="F897" s="2">
        <v>0.43611111111111112</v>
      </c>
      <c r="G897">
        <v>21597.67</v>
      </c>
      <c r="H897">
        <v>21597.67</v>
      </c>
      <c r="I897">
        <v>21650.62</v>
      </c>
      <c r="J897" t="s">
        <v>15</v>
      </c>
      <c r="K897">
        <v>-15.13</v>
      </c>
      <c r="L897" s="9">
        <v>-1</v>
      </c>
      <c r="M897">
        <v>0</v>
      </c>
      <c r="N897">
        <v>4</v>
      </c>
    </row>
    <row r="898" spans="1:14" x14ac:dyDescent="0.2">
      <c r="A898" s="1">
        <v>45701</v>
      </c>
      <c r="B898">
        <v>4</v>
      </c>
      <c r="C898" t="s">
        <v>16</v>
      </c>
      <c r="D898" s="2">
        <v>0.4</v>
      </c>
      <c r="E898">
        <v>21836.33</v>
      </c>
      <c r="F898" s="2">
        <v>0.40069444444444446</v>
      </c>
      <c r="G898">
        <v>21821.040000000001</v>
      </c>
      <c r="H898">
        <v>21821.040000000001</v>
      </c>
      <c r="I898">
        <v>21874.54</v>
      </c>
      <c r="J898" t="s">
        <v>15</v>
      </c>
      <c r="K898">
        <v>-15.29</v>
      </c>
      <c r="L898" s="9">
        <v>-1</v>
      </c>
      <c r="M898">
        <v>0</v>
      </c>
      <c r="N898">
        <v>5</v>
      </c>
    </row>
    <row r="899" spans="1:14" x14ac:dyDescent="0.2">
      <c r="A899" s="1">
        <v>45701</v>
      </c>
      <c r="B899">
        <v>4</v>
      </c>
      <c r="C899" t="s">
        <v>16</v>
      </c>
      <c r="D899" s="2">
        <v>0.41805555555555557</v>
      </c>
      <c r="E899">
        <v>21833.040000000001</v>
      </c>
      <c r="F899" s="2">
        <v>0.42152777777777778</v>
      </c>
      <c r="G899">
        <v>21817.75</v>
      </c>
      <c r="H899">
        <v>21817.75</v>
      </c>
      <c r="I899">
        <v>21871.24</v>
      </c>
      <c r="J899" t="s">
        <v>15</v>
      </c>
      <c r="K899">
        <v>-15.28</v>
      </c>
      <c r="L899" s="9">
        <v>-1</v>
      </c>
      <c r="M899">
        <v>0</v>
      </c>
      <c r="N899">
        <v>6</v>
      </c>
    </row>
    <row r="900" spans="1:14" x14ac:dyDescent="0.2">
      <c r="A900" s="1">
        <v>45702</v>
      </c>
      <c r="B900">
        <v>5</v>
      </c>
      <c r="C900" t="s">
        <v>16</v>
      </c>
      <c r="D900" s="2">
        <v>0.42569444444444443</v>
      </c>
      <c r="E900">
        <v>22062.34</v>
      </c>
      <c r="F900" s="2">
        <v>0.42708333333333331</v>
      </c>
      <c r="G900">
        <v>22046.9</v>
      </c>
      <c r="H900">
        <v>22046.9</v>
      </c>
      <c r="I900">
        <v>22100.95</v>
      </c>
      <c r="J900" t="s">
        <v>15</v>
      </c>
      <c r="K900">
        <v>-15.44</v>
      </c>
      <c r="L900" s="9">
        <v>-1</v>
      </c>
      <c r="M900">
        <v>0</v>
      </c>
      <c r="N900">
        <v>7</v>
      </c>
    </row>
    <row r="901" spans="1:14" x14ac:dyDescent="0.2">
      <c r="A901" s="1">
        <v>45702</v>
      </c>
      <c r="B901">
        <v>5</v>
      </c>
      <c r="C901" t="s">
        <v>13</v>
      </c>
      <c r="D901" s="2">
        <v>0.44513888888888886</v>
      </c>
      <c r="E901">
        <v>22032.59</v>
      </c>
      <c r="F901" s="2">
        <v>0.45</v>
      </c>
      <c r="G901">
        <v>22048.02</v>
      </c>
      <c r="H901">
        <v>22048.02</v>
      </c>
      <c r="I901">
        <v>21994.04</v>
      </c>
      <c r="J901" t="s">
        <v>15</v>
      </c>
      <c r="K901">
        <v>-15.42</v>
      </c>
      <c r="L901" s="9">
        <v>-1</v>
      </c>
      <c r="M901">
        <v>0</v>
      </c>
      <c r="N901">
        <v>8</v>
      </c>
    </row>
    <row r="902" spans="1:14" x14ac:dyDescent="0.2">
      <c r="A902" s="1">
        <v>45705</v>
      </c>
      <c r="B902">
        <v>1</v>
      </c>
      <c r="C902" t="s">
        <v>13</v>
      </c>
      <c r="D902" s="2">
        <v>0.39583333333333331</v>
      </c>
      <c r="E902">
        <v>22153.88</v>
      </c>
      <c r="F902" s="2">
        <v>0.40069444444444446</v>
      </c>
      <c r="G902">
        <v>22115.11</v>
      </c>
      <c r="H902">
        <v>22169.39</v>
      </c>
      <c r="I902">
        <v>22115.11</v>
      </c>
      <c r="J902" t="s">
        <v>14</v>
      </c>
      <c r="K902">
        <v>38.770000000000003</v>
      </c>
      <c r="L902" s="9">
        <v>2.5</v>
      </c>
      <c r="M902">
        <v>1</v>
      </c>
      <c r="N902">
        <v>0</v>
      </c>
    </row>
    <row r="903" spans="1:14" x14ac:dyDescent="0.2">
      <c r="A903" s="1">
        <v>45705</v>
      </c>
      <c r="B903">
        <v>1</v>
      </c>
      <c r="C903" t="s">
        <v>16</v>
      </c>
      <c r="D903" s="2">
        <v>0.43125000000000002</v>
      </c>
      <c r="E903">
        <v>22134.67</v>
      </c>
      <c r="F903" s="2">
        <v>0.64583333333333337</v>
      </c>
      <c r="G903">
        <v>22162.6</v>
      </c>
      <c r="H903">
        <v>22119.18</v>
      </c>
      <c r="I903">
        <v>22173.41</v>
      </c>
      <c r="J903" t="s">
        <v>18</v>
      </c>
      <c r="K903">
        <v>27.93</v>
      </c>
      <c r="L903" s="9">
        <v>1.8024044349999999</v>
      </c>
      <c r="M903">
        <v>1</v>
      </c>
      <c r="N903">
        <v>2</v>
      </c>
    </row>
    <row r="904" spans="1:14" x14ac:dyDescent="0.2">
      <c r="A904" s="1">
        <v>45706</v>
      </c>
      <c r="B904">
        <v>2</v>
      </c>
      <c r="C904" t="s">
        <v>13</v>
      </c>
      <c r="D904" s="2">
        <v>0.39791666666666664</v>
      </c>
      <c r="E904">
        <v>22173.62</v>
      </c>
      <c r="F904" s="2">
        <v>0.40555555555555556</v>
      </c>
      <c r="G904">
        <v>22134.82</v>
      </c>
      <c r="H904">
        <v>22189.14</v>
      </c>
      <c r="I904">
        <v>22134.82</v>
      </c>
      <c r="J904" t="s">
        <v>14</v>
      </c>
      <c r="K904">
        <v>38.799999999999997</v>
      </c>
      <c r="L904" s="9">
        <v>2.5</v>
      </c>
      <c r="M904">
        <v>1</v>
      </c>
      <c r="N904">
        <v>3</v>
      </c>
    </row>
    <row r="905" spans="1:14" x14ac:dyDescent="0.2">
      <c r="A905" s="1">
        <v>45706</v>
      </c>
      <c r="B905">
        <v>2</v>
      </c>
      <c r="C905" t="s">
        <v>13</v>
      </c>
      <c r="D905" s="2">
        <v>0.4375</v>
      </c>
      <c r="E905">
        <v>22065.01</v>
      </c>
      <c r="F905" s="2">
        <v>0.44236111111111109</v>
      </c>
      <c r="G905">
        <v>22080.46</v>
      </c>
      <c r="H905">
        <v>22080.46</v>
      </c>
      <c r="I905">
        <v>22026.400000000001</v>
      </c>
      <c r="J905" t="s">
        <v>15</v>
      </c>
      <c r="K905">
        <v>-15.45</v>
      </c>
      <c r="L905" s="9">
        <v>-1</v>
      </c>
      <c r="M905">
        <v>0</v>
      </c>
      <c r="N905">
        <v>0</v>
      </c>
    </row>
    <row r="906" spans="1:14" x14ac:dyDescent="0.2">
      <c r="A906" s="1">
        <v>45707</v>
      </c>
      <c r="B906">
        <v>3</v>
      </c>
      <c r="C906" t="s">
        <v>13</v>
      </c>
      <c r="D906" s="2">
        <v>0.41666666666666669</v>
      </c>
      <c r="E906">
        <v>22095.99</v>
      </c>
      <c r="F906" s="2">
        <v>0.4201388888888889</v>
      </c>
      <c r="G906">
        <v>22057.32</v>
      </c>
      <c r="H906">
        <v>22111.46</v>
      </c>
      <c r="I906">
        <v>22057.32</v>
      </c>
      <c r="J906" t="s">
        <v>14</v>
      </c>
      <c r="K906">
        <v>38.67</v>
      </c>
      <c r="L906" s="9">
        <v>2.5</v>
      </c>
      <c r="M906">
        <v>1</v>
      </c>
      <c r="N906">
        <v>0</v>
      </c>
    </row>
    <row r="907" spans="1:14" x14ac:dyDescent="0.2">
      <c r="A907" s="1">
        <v>45707</v>
      </c>
      <c r="B907">
        <v>3</v>
      </c>
      <c r="C907" t="s">
        <v>16</v>
      </c>
      <c r="D907" s="2">
        <v>0.44791666666666669</v>
      </c>
      <c r="E907">
        <v>22107.03</v>
      </c>
      <c r="F907" s="2">
        <v>0.45555555555555555</v>
      </c>
      <c r="G907">
        <v>22091.56</v>
      </c>
      <c r="H907">
        <v>22091.56</v>
      </c>
      <c r="I907">
        <v>22145.72</v>
      </c>
      <c r="J907" t="s">
        <v>15</v>
      </c>
      <c r="K907">
        <v>-15.47</v>
      </c>
      <c r="L907" s="9">
        <v>-1</v>
      </c>
      <c r="M907">
        <v>0</v>
      </c>
      <c r="N907">
        <v>0</v>
      </c>
    </row>
    <row r="908" spans="1:14" x14ac:dyDescent="0.2">
      <c r="A908" s="1">
        <v>45708</v>
      </c>
      <c r="B908">
        <v>4</v>
      </c>
      <c r="C908" t="s">
        <v>13</v>
      </c>
      <c r="D908" s="2">
        <v>0.40833333333333333</v>
      </c>
      <c r="E908">
        <v>22086.53</v>
      </c>
      <c r="F908" s="2">
        <v>0.41041666666666665</v>
      </c>
      <c r="G908">
        <v>22047.88</v>
      </c>
      <c r="H908">
        <v>22101.99</v>
      </c>
      <c r="I908">
        <v>22047.88</v>
      </c>
      <c r="J908" t="s">
        <v>14</v>
      </c>
      <c r="K908">
        <v>38.65</v>
      </c>
      <c r="L908" s="9">
        <v>2.5</v>
      </c>
      <c r="M908">
        <v>1</v>
      </c>
      <c r="N908">
        <v>0</v>
      </c>
    </row>
    <row r="909" spans="1:14" x14ac:dyDescent="0.2">
      <c r="A909" s="1">
        <v>45708</v>
      </c>
      <c r="B909">
        <v>4</v>
      </c>
      <c r="C909" t="s">
        <v>16</v>
      </c>
      <c r="D909" s="2">
        <v>0.43958333333333333</v>
      </c>
      <c r="E909">
        <v>22015.83</v>
      </c>
      <c r="F909" s="2">
        <v>0.44097222222222221</v>
      </c>
      <c r="G909">
        <v>22000.42</v>
      </c>
      <c r="H909">
        <v>22000.42</v>
      </c>
      <c r="I909">
        <v>22054.36</v>
      </c>
      <c r="J909" t="s">
        <v>15</v>
      </c>
      <c r="K909">
        <v>-15.41</v>
      </c>
      <c r="L909" s="9">
        <v>-1</v>
      </c>
      <c r="M909">
        <v>0</v>
      </c>
      <c r="N909">
        <v>0</v>
      </c>
    </row>
    <row r="910" spans="1:14" x14ac:dyDescent="0.2">
      <c r="A910" s="1">
        <v>45708</v>
      </c>
      <c r="B910">
        <v>4</v>
      </c>
      <c r="C910" t="s">
        <v>13</v>
      </c>
      <c r="D910" s="2">
        <v>0.45347222222222222</v>
      </c>
      <c r="E910">
        <v>21940.79</v>
      </c>
      <c r="F910" s="2">
        <v>0.45763888888888887</v>
      </c>
      <c r="G910">
        <v>21902.39</v>
      </c>
      <c r="H910">
        <v>21956.15</v>
      </c>
      <c r="I910">
        <v>21902.39</v>
      </c>
      <c r="J910" t="s">
        <v>14</v>
      </c>
      <c r="K910">
        <v>38.4</v>
      </c>
      <c r="L910" s="9">
        <v>2.5</v>
      </c>
      <c r="M910">
        <v>1</v>
      </c>
      <c r="N910">
        <v>0</v>
      </c>
    </row>
    <row r="911" spans="1:14" x14ac:dyDescent="0.2">
      <c r="A911" s="1">
        <v>45712</v>
      </c>
      <c r="B911">
        <v>1</v>
      </c>
      <c r="C911" t="s">
        <v>13</v>
      </c>
      <c r="D911" s="2">
        <v>0.39652777777777776</v>
      </c>
      <c r="E911">
        <v>21685.83</v>
      </c>
      <c r="F911" s="2">
        <v>0.3972222222222222</v>
      </c>
      <c r="G911">
        <v>21701.01</v>
      </c>
      <c r="H911">
        <v>21701.01</v>
      </c>
      <c r="I911">
        <v>21647.88</v>
      </c>
      <c r="J911" t="s">
        <v>15</v>
      </c>
      <c r="K911">
        <v>-15.18</v>
      </c>
      <c r="L911" s="9">
        <v>-1</v>
      </c>
      <c r="M911">
        <v>0</v>
      </c>
      <c r="N911">
        <v>0</v>
      </c>
    </row>
    <row r="912" spans="1:14" x14ac:dyDescent="0.2">
      <c r="A912" s="1">
        <v>45712</v>
      </c>
      <c r="B912">
        <v>1</v>
      </c>
      <c r="C912" t="s">
        <v>13</v>
      </c>
      <c r="D912" s="2">
        <v>0.45</v>
      </c>
      <c r="E912">
        <v>21406.28</v>
      </c>
      <c r="F912" s="2">
        <v>0.4513888888888889</v>
      </c>
      <c r="G912">
        <v>21421.27</v>
      </c>
      <c r="H912">
        <v>21421.27</v>
      </c>
      <c r="I912">
        <v>21368.82</v>
      </c>
      <c r="J912" t="s">
        <v>15</v>
      </c>
      <c r="K912">
        <v>-14.98</v>
      </c>
      <c r="L912" s="9">
        <v>-1</v>
      </c>
      <c r="M912">
        <v>0</v>
      </c>
      <c r="N912">
        <v>2</v>
      </c>
    </row>
    <row r="913" spans="1:14" x14ac:dyDescent="0.2">
      <c r="A913" s="1">
        <v>45713</v>
      </c>
      <c r="B913">
        <v>2</v>
      </c>
      <c r="C913" t="s">
        <v>13</v>
      </c>
      <c r="D913" s="2">
        <v>0.39930555555555558</v>
      </c>
      <c r="E913">
        <v>21291.72</v>
      </c>
      <c r="F913" s="2">
        <v>0.4</v>
      </c>
      <c r="G913">
        <v>21306.63</v>
      </c>
      <c r="H913">
        <v>21306.63</v>
      </c>
      <c r="I913">
        <v>21254.46</v>
      </c>
      <c r="J913" t="s">
        <v>15</v>
      </c>
      <c r="K913">
        <v>-14.9</v>
      </c>
      <c r="L913" s="9">
        <v>-1</v>
      </c>
      <c r="M913">
        <v>0</v>
      </c>
      <c r="N913">
        <v>3</v>
      </c>
    </row>
    <row r="914" spans="1:14" x14ac:dyDescent="0.2">
      <c r="A914" s="1">
        <v>45714</v>
      </c>
      <c r="B914">
        <v>3</v>
      </c>
      <c r="C914" t="s">
        <v>13</v>
      </c>
      <c r="D914" s="2">
        <v>0.39583333333333331</v>
      </c>
      <c r="E914">
        <v>21169.93</v>
      </c>
      <c r="F914" s="2">
        <v>0.39652777777777776</v>
      </c>
      <c r="G914">
        <v>21132.880000000001</v>
      </c>
      <c r="H914">
        <v>21184.75</v>
      </c>
      <c r="I914">
        <v>21132.880000000001</v>
      </c>
      <c r="J914" t="s">
        <v>14</v>
      </c>
      <c r="K914">
        <v>37.049999999999997</v>
      </c>
      <c r="L914" s="9">
        <v>2.5</v>
      </c>
      <c r="M914">
        <v>1</v>
      </c>
      <c r="N914">
        <v>0</v>
      </c>
    </row>
    <row r="915" spans="1:14" x14ac:dyDescent="0.2">
      <c r="A915" s="1">
        <v>45714</v>
      </c>
      <c r="B915">
        <v>3</v>
      </c>
      <c r="C915" t="s">
        <v>16</v>
      </c>
      <c r="D915" s="2">
        <v>0.41388888888888886</v>
      </c>
      <c r="E915">
        <v>21226.32</v>
      </c>
      <c r="F915" s="2">
        <v>0.41458333333333336</v>
      </c>
      <c r="G915">
        <v>21211.47</v>
      </c>
      <c r="H915">
        <v>21211.47</v>
      </c>
      <c r="I915">
        <v>21263.47</v>
      </c>
      <c r="J915" t="s">
        <v>15</v>
      </c>
      <c r="K915">
        <v>-14.86</v>
      </c>
      <c r="L915" s="9">
        <v>-1</v>
      </c>
      <c r="M915">
        <v>0</v>
      </c>
      <c r="N915">
        <v>0</v>
      </c>
    </row>
    <row r="916" spans="1:14" x14ac:dyDescent="0.2">
      <c r="A916" s="1">
        <v>45715</v>
      </c>
      <c r="B916">
        <v>4</v>
      </c>
      <c r="C916" t="s">
        <v>13</v>
      </c>
      <c r="D916" s="2">
        <v>0.40694444444444444</v>
      </c>
      <c r="E916">
        <v>21166.65</v>
      </c>
      <c r="F916" s="2">
        <v>0.40833333333333333</v>
      </c>
      <c r="G916">
        <v>21129.61</v>
      </c>
      <c r="H916">
        <v>21181.46</v>
      </c>
      <c r="I916">
        <v>21129.61</v>
      </c>
      <c r="J916" t="s">
        <v>14</v>
      </c>
      <c r="K916">
        <v>37.04</v>
      </c>
      <c r="L916" s="9">
        <v>2.5</v>
      </c>
      <c r="M916">
        <v>1</v>
      </c>
      <c r="N916">
        <v>0</v>
      </c>
    </row>
    <row r="917" spans="1:14" x14ac:dyDescent="0.2">
      <c r="A917" s="1">
        <v>45716</v>
      </c>
      <c r="B917">
        <v>5</v>
      </c>
      <c r="C917" t="s">
        <v>13</v>
      </c>
      <c r="D917" s="2">
        <v>0.39930555555555558</v>
      </c>
      <c r="E917">
        <v>20453.509999999998</v>
      </c>
      <c r="F917" s="2">
        <v>0.4</v>
      </c>
      <c r="G917">
        <v>20467.830000000002</v>
      </c>
      <c r="H917">
        <v>20467.830000000002</v>
      </c>
      <c r="I917">
        <v>20417.72</v>
      </c>
      <c r="J917" t="s">
        <v>15</v>
      </c>
      <c r="K917">
        <v>-14.32</v>
      </c>
      <c r="L917" s="9">
        <v>-1</v>
      </c>
      <c r="M917">
        <v>0</v>
      </c>
      <c r="N917">
        <v>0</v>
      </c>
    </row>
    <row r="918" spans="1:14" x14ac:dyDescent="0.2">
      <c r="A918" s="1">
        <v>45716</v>
      </c>
      <c r="B918">
        <v>5</v>
      </c>
      <c r="C918" t="s">
        <v>16</v>
      </c>
      <c r="D918" s="2">
        <v>0.42430555555555555</v>
      </c>
      <c r="E918">
        <v>20585.29</v>
      </c>
      <c r="F918" s="2">
        <v>0.42569444444444443</v>
      </c>
      <c r="G918">
        <v>20621.32</v>
      </c>
      <c r="H918">
        <v>20570.88</v>
      </c>
      <c r="I918">
        <v>20621.32</v>
      </c>
      <c r="J918" t="s">
        <v>14</v>
      </c>
      <c r="K918">
        <v>36.020000000000003</v>
      </c>
      <c r="L918" s="9">
        <v>2.5</v>
      </c>
      <c r="M918">
        <v>1</v>
      </c>
      <c r="N918">
        <v>0</v>
      </c>
    </row>
    <row r="919" spans="1:14" x14ac:dyDescent="0.2">
      <c r="A919" s="1">
        <v>45720</v>
      </c>
      <c r="B919">
        <v>2</v>
      </c>
      <c r="C919" t="s">
        <v>13</v>
      </c>
      <c r="D919" s="2">
        <v>0.39861111111111114</v>
      </c>
      <c r="E919">
        <v>20259.32</v>
      </c>
      <c r="F919" s="2">
        <v>0.39930555555555558</v>
      </c>
      <c r="G919">
        <v>20273.509999999998</v>
      </c>
      <c r="H919">
        <v>20273.509999999998</v>
      </c>
      <c r="I919">
        <v>20223.87</v>
      </c>
      <c r="J919" t="s">
        <v>15</v>
      </c>
      <c r="K919">
        <v>-14.18</v>
      </c>
      <c r="L919" s="9">
        <v>-1</v>
      </c>
      <c r="M919">
        <v>0</v>
      </c>
      <c r="N919">
        <v>0</v>
      </c>
    </row>
    <row r="920" spans="1:14" x14ac:dyDescent="0.2">
      <c r="A920" s="1">
        <v>45720</v>
      </c>
      <c r="B920">
        <v>2</v>
      </c>
      <c r="C920" t="s">
        <v>13</v>
      </c>
      <c r="D920" s="2">
        <v>0.41944444444444445</v>
      </c>
      <c r="E920">
        <v>20180.41</v>
      </c>
      <c r="F920" s="2">
        <v>0.4201388888888889</v>
      </c>
      <c r="G920">
        <v>20194.54</v>
      </c>
      <c r="H920">
        <v>20194.54</v>
      </c>
      <c r="I920">
        <v>20145.099999999999</v>
      </c>
      <c r="J920" t="s">
        <v>15</v>
      </c>
      <c r="K920">
        <v>-14.13</v>
      </c>
      <c r="L920" s="9">
        <v>-1</v>
      </c>
      <c r="M920">
        <v>0</v>
      </c>
      <c r="N920">
        <v>2</v>
      </c>
    </row>
    <row r="921" spans="1:14" x14ac:dyDescent="0.2">
      <c r="A921" s="1">
        <v>45722</v>
      </c>
      <c r="B921">
        <v>4</v>
      </c>
      <c r="C921" t="s">
        <v>13</v>
      </c>
      <c r="D921" s="2">
        <v>0.39791666666666664</v>
      </c>
      <c r="E921">
        <v>20233.47</v>
      </c>
      <c r="F921" s="2">
        <v>0.4</v>
      </c>
      <c r="G921">
        <v>20198.060000000001</v>
      </c>
      <c r="H921">
        <v>20247.63</v>
      </c>
      <c r="I921">
        <v>20198.060000000001</v>
      </c>
      <c r="J921" t="s">
        <v>14</v>
      </c>
      <c r="K921">
        <v>35.409999999999997</v>
      </c>
      <c r="L921" s="9">
        <v>2.5</v>
      </c>
      <c r="M921">
        <v>1</v>
      </c>
      <c r="N921">
        <v>0</v>
      </c>
    </row>
    <row r="922" spans="1:14" x14ac:dyDescent="0.2">
      <c r="A922" s="1">
        <v>45722</v>
      </c>
      <c r="B922">
        <v>4</v>
      </c>
      <c r="C922" t="s">
        <v>16</v>
      </c>
      <c r="D922" s="2">
        <v>0.4236111111111111</v>
      </c>
      <c r="E922">
        <v>20349.29</v>
      </c>
      <c r="F922" s="2">
        <v>0.42777777777777776</v>
      </c>
      <c r="G922">
        <v>20384.900000000001</v>
      </c>
      <c r="H922">
        <v>20335.05</v>
      </c>
      <c r="I922">
        <v>20384.900000000001</v>
      </c>
      <c r="J922" t="s">
        <v>14</v>
      </c>
      <c r="K922">
        <v>35.61</v>
      </c>
      <c r="L922" s="9">
        <v>2.5</v>
      </c>
      <c r="M922">
        <v>1</v>
      </c>
      <c r="N922">
        <v>2</v>
      </c>
    </row>
    <row r="923" spans="1:14" x14ac:dyDescent="0.2">
      <c r="A923" s="1">
        <v>45723</v>
      </c>
      <c r="B923">
        <v>5</v>
      </c>
      <c r="C923" t="s">
        <v>16</v>
      </c>
      <c r="D923" s="2">
        <v>0.40555555555555556</v>
      </c>
      <c r="E923">
        <v>20102.98</v>
      </c>
      <c r="F923" s="2">
        <v>0.40694444444444444</v>
      </c>
      <c r="G923">
        <v>20138.16</v>
      </c>
      <c r="H923">
        <v>20088.91</v>
      </c>
      <c r="I923">
        <v>20138.16</v>
      </c>
      <c r="J923" t="s">
        <v>14</v>
      </c>
      <c r="K923">
        <v>35.18</v>
      </c>
      <c r="L923" s="9">
        <v>2.5</v>
      </c>
      <c r="M923">
        <v>1</v>
      </c>
      <c r="N923">
        <v>3</v>
      </c>
    </row>
    <row r="924" spans="1:14" x14ac:dyDescent="0.2">
      <c r="A924" s="1">
        <v>45723</v>
      </c>
      <c r="B924">
        <v>5</v>
      </c>
      <c r="C924" t="s">
        <v>13</v>
      </c>
      <c r="D924" s="2">
        <v>0.43055555555555558</v>
      </c>
      <c r="E924">
        <v>20049.93</v>
      </c>
      <c r="F924" s="2">
        <v>0.43333333333333335</v>
      </c>
      <c r="G924">
        <v>20063.96</v>
      </c>
      <c r="H924">
        <v>20063.96</v>
      </c>
      <c r="I924">
        <v>20014.84</v>
      </c>
      <c r="J924" t="s">
        <v>15</v>
      </c>
      <c r="K924">
        <v>-14.03</v>
      </c>
      <c r="L924" s="9">
        <v>-1</v>
      </c>
      <c r="M924">
        <v>0</v>
      </c>
      <c r="N924">
        <v>0</v>
      </c>
    </row>
    <row r="925" spans="1:14" x14ac:dyDescent="0.2">
      <c r="A925" s="1">
        <v>45726</v>
      </c>
      <c r="B925">
        <v>1</v>
      </c>
      <c r="C925" t="s">
        <v>13</v>
      </c>
      <c r="D925" s="2">
        <v>0.39652777777777776</v>
      </c>
      <c r="E925">
        <v>19840.97</v>
      </c>
      <c r="F925" s="2">
        <v>0.3972222222222222</v>
      </c>
      <c r="G925">
        <v>19806.25</v>
      </c>
      <c r="H925">
        <v>19854.86</v>
      </c>
      <c r="I925">
        <v>19806.25</v>
      </c>
      <c r="J925" t="s">
        <v>14</v>
      </c>
      <c r="K925">
        <v>34.72</v>
      </c>
      <c r="L925" s="9">
        <v>2.5</v>
      </c>
      <c r="M925">
        <v>1</v>
      </c>
      <c r="N925">
        <v>0</v>
      </c>
    </row>
    <row r="926" spans="1:14" x14ac:dyDescent="0.2">
      <c r="A926" s="1">
        <v>45726</v>
      </c>
      <c r="B926">
        <v>1</v>
      </c>
      <c r="C926" t="s">
        <v>13</v>
      </c>
      <c r="D926" s="2">
        <v>0.4201388888888889</v>
      </c>
      <c r="E926">
        <v>19685.689999999999</v>
      </c>
      <c r="F926" s="2">
        <v>0.4236111111111111</v>
      </c>
      <c r="G926">
        <v>19651.240000000002</v>
      </c>
      <c r="H926">
        <v>19699.47</v>
      </c>
      <c r="I926">
        <v>19651.240000000002</v>
      </c>
      <c r="J926" t="s">
        <v>14</v>
      </c>
      <c r="K926">
        <v>34.450000000000003</v>
      </c>
      <c r="L926" s="9">
        <v>2.5</v>
      </c>
      <c r="M926">
        <v>1</v>
      </c>
      <c r="N926">
        <v>2</v>
      </c>
    </row>
    <row r="927" spans="1:14" x14ac:dyDescent="0.2">
      <c r="A927" s="1">
        <v>45727</v>
      </c>
      <c r="B927">
        <v>2</v>
      </c>
      <c r="C927" t="s">
        <v>13</v>
      </c>
      <c r="D927" s="2">
        <v>0.39583333333333331</v>
      </c>
      <c r="E927">
        <v>19391.12</v>
      </c>
      <c r="F927" s="2">
        <v>0.39652777777777776</v>
      </c>
      <c r="G927">
        <v>19404.689999999999</v>
      </c>
      <c r="H927">
        <v>19404.689999999999</v>
      </c>
      <c r="I927">
        <v>19357.18</v>
      </c>
      <c r="J927" t="s">
        <v>15</v>
      </c>
      <c r="K927">
        <v>-13.57</v>
      </c>
      <c r="L927" s="9">
        <v>-1</v>
      </c>
      <c r="M927">
        <v>0</v>
      </c>
      <c r="N927">
        <v>0</v>
      </c>
    </row>
    <row r="928" spans="1:14" x14ac:dyDescent="0.2">
      <c r="A928" s="1">
        <v>45727</v>
      </c>
      <c r="B928">
        <v>2</v>
      </c>
      <c r="C928" t="s">
        <v>16</v>
      </c>
      <c r="D928" s="2">
        <v>0.41041666666666665</v>
      </c>
      <c r="E928">
        <v>19527.330000000002</v>
      </c>
      <c r="F928" s="2">
        <v>0.41180555555555554</v>
      </c>
      <c r="G928">
        <v>19513.66</v>
      </c>
      <c r="H928">
        <v>19513.66</v>
      </c>
      <c r="I928">
        <v>19561.509999999998</v>
      </c>
      <c r="J928" t="s">
        <v>15</v>
      </c>
      <c r="K928">
        <v>-13.67</v>
      </c>
      <c r="L928" s="9">
        <v>-1</v>
      </c>
      <c r="M928">
        <v>0</v>
      </c>
      <c r="N928">
        <v>2</v>
      </c>
    </row>
    <row r="929" spans="1:14" x14ac:dyDescent="0.2">
      <c r="A929" s="1">
        <v>45727</v>
      </c>
      <c r="B929">
        <v>2</v>
      </c>
      <c r="C929" t="s">
        <v>13</v>
      </c>
      <c r="D929" s="2">
        <v>0.4375</v>
      </c>
      <c r="E929">
        <v>19308.419999999998</v>
      </c>
      <c r="F929" s="2">
        <v>0.43819444444444444</v>
      </c>
      <c r="G929">
        <v>19321.939999999999</v>
      </c>
      <c r="H929">
        <v>19321.939999999999</v>
      </c>
      <c r="I929">
        <v>19274.63</v>
      </c>
      <c r="J929" t="s">
        <v>15</v>
      </c>
      <c r="K929">
        <v>-13.52</v>
      </c>
      <c r="L929" s="9">
        <v>-1</v>
      </c>
      <c r="M929">
        <v>0</v>
      </c>
      <c r="N929">
        <v>3</v>
      </c>
    </row>
    <row r="930" spans="1:14" x14ac:dyDescent="0.2">
      <c r="A930" s="1">
        <v>45728</v>
      </c>
      <c r="B930">
        <v>3</v>
      </c>
      <c r="C930" t="s">
        <v>13</v>
      </c>
      <c r="D930" s="2">
        <v>0.44166666666666665</v>
      </c>
      <c r="E930">
        <v>19530.55</v>
      </c>
      <c r="F930" s="2">
        <v>0.44236111111111109</v>
      </c>
      <c r="G930">
        <v>19496.37</v>
      </c>
      <c r="H930">
        <v>19544.22</v>
      </c>
      <c r="I930">
        <v>19496.37</v>
      </c>
      <c r="J930" t="s">
        <v>14</v>
      </c>
      <c r="K930">
        <v>34.18</v>
      </c>
      <c r="L930" s="9">
        <v>2.5</v>
      </c>
      <c r="M930">
        <v>1</v>
      </c>
      <c r="N930">
        <v>0</v>
      </c>
    </row>
    <row r="931" spans="1:14" x14ac:dyDescent="0.2">
      <c r="A931" s="1">
        <v>45729</v>
      </c>
      <c r="B931">
        <v>4</v>
      </c>
      <c r="C931" t="s">
        <v>13</v>
      </c>
      <c r="D931" s="2">
        <v>0.40694444444444444</v>
      </c>
      <c r="E931">
        <v>19464.73</v>
      </c>
      <c r="F931" s="2">
        <v>0.40972222222222221</v>
      </c>
      <c r="G931">
        <v>19430.669999999998</v>
      </c>
      <c r="H931">
        <v>19478.349999999999</v>
      </c>
      <c r="I931">
        <v>19430.669999999998</v>
      </c>
      <c r="J931" t="s">
        <v>14</v>
      </c>
      <c r="K931">
        <v>34.06</v>
      </c>
      <c r="L931" s="9">
        <v>2.5</v>
      </c>
      <c r="M931">
        <v>1</v>
      </c>
      <c r="N931">
        <v>2</v>
      </c>
    </row>
    <row r="932" spans="1:14" x14ac:dyDescent="0.2">
      <c r="A932" s="1">
        <v>45729</v>
      </c>
      <c r="B932">
        <v>4</v>
      </c>
      <c r="C932" t="s">
        <v>16</v>
      </c>
      <c r="D932" s="2">
        <v>0.43194444444444446</v>
      </c>
      <c r="E932">
        <v>19476.91</v>
      </c>
      <c r="F932" s="2">
        <v>0.43333333333333335</v>
      </c>
      <c r="G932">
        <v>19511</v>
      </c>
      <c r="H932">
        <v>19463.28</v>
      </c>
      <c r="I932">
        <v>19511</v>
      </c>
      <c r="J932" t="s">
        <v>14</v>
      </c>
      <c r="K932">
        <v>34.08</v>
      </c>
      <c r="L932" s="9">
        <v>2.5</v>
      </c>
      <c r="M932">
        <v>1</v>
      </c>
      <c r="N932">
        <v>3</v>
      </c>
    </row>
    <row r="933" spans="1:14" x14ac:dyDescent="0.2">
      <c r="A933" s="1">
        <v>45729</v>
      </c>
      <c r="B933">
        <v>4</v>
      </c>
      <c r="C933" t="s">
        <v>13</v>
      </c>
      <c r="D933" s="2">
        <v>0.44791666666666669</v>
      </c>
      <c r="E933">
        <v>19399.759999999998</v>
      </c>
      <c r="F933" s="2">
        <v>0.44861111111111113</v>
      </c>
      <c r="G933">
        <v>19413.330000000002</v>
      </c>
      <c r="H933">
        <v>19413.330000000002</v>
      </c>
      <c r="I933">
        <v>19365.810000000001</v>
      </c>
      <c r="J933" t="s">
        <v>15</v>
      </c>
      <c r="K933">
        <v>-13.58</v>
      </c>
      <c r="L933" s="9">
        <v>-1</v>
      </c>
      <c r="M933">
        <v>0</v>
      </c>
      <c r="N933">
        <v>0</v>
      </c>
    </row>
    <row r="934" spans="1:14" x14ac:dyDescent="0.2">
      <c r="A934" s="1">
        <v>45730</v>
      </c>
      <c r="B934">
        <v>5</v>
      </c>
      <c r="C934" t="s">
        <v>13</v>
      </c>
      <c r="D934" s="2">
        <v>0.39583333333333331</v>
      </c>
      <c r="E934">
        <v>19441.73</v>
      </c>
      <c r="F934" s="2">
        <v>0.39652777777777776</v>
      </c>
      <c r="G934">
        <v>19455.34</v>
      </c>
      <c r="H934">
        <v>19455.34</v>
      </c>
      <c r="I934">
        <v>19407.71</v>
      </c>
      <c r="J934" t="s">
        <v>15</v>
      </c>
      <c r="K934">
        <v>-13.61</v>
      </c>
      <c r="L934" s="9">
        <v>-1</v>
      </c>
      <c r="M934">
        <v>0</v>
      </c>
      <c r="N934">
        <v>2</v>
      </c>
    </row>
    <row r="935" spans="1:14" x14ac:dyDescent="0.2">
      <c r="A935" s="1">
        <v>45730</v>
      </c>
      <c r="B935">
        <v>5</v>
      </c>
      <c r="C935" t="s">
        <v>16</v>
      </c>
      <c r="D935" s="2">
        <v>0.40277777777777779</v>
      </c>
      <c r="E935">
        <v>19541.650000000001</v>
      </c>
      <c r="F935" s="2">
        <v>0.40416666666666667</v>
      </c>
      <c r="G935">
        <v>19527.97</v>
      </c>
      <c r="H935">
        <v>19527.97</v>
      </c>
      <c r="I935">
        <v>19575.849999999999</v>
      </c>
      <c r="J935" t="s">
        <v>15</v>
      </c>
      <c r="K935">
        <v>-13.68</v>
      </c>
      <c r="L935" s="9">
        <v>-1</v>
      </c>
      <c r="M935">
        <v>0</v>
      </c>
      <c r="N935">
        <v>3</v>
      </c>
    </row>
    <row r="936" spans="1:14" x14ac:dyDescent="0.2">
      <c r="A936" s="1">
        <v>45730</v>
      </c>
      <c r="B936">
        <v>5</v>
      </c>
      <c r="C936" t="s">
        <v>13</v>
      </c>
      <c r="D936" s="2">
        <v>0.42638888888888887</v>
      </c>
      <c r="E936">
        <v>19466.16</v>
      </c>
      <c r="F936" s="2">
        <v>0.43055555555555558</v>
      </c>
      <c r="G936">
        <v>19432.099999999999</v>
      </c>
      <c r="H936">
        <v>19479.79</v>
      </c>
      <c r="I936">
        <v>19432.099999999999</v>
      </c>
      <c r="J936" t="s">
        <v>14</v>
      </c>
      <c r="K936">
        <v>34.07</v>
      </c>
      <c r="L936" s="9">
        <v>2.5</v>
      </c>
      <c r="M936">
        <v>1</v>
      </c>
      <c r="N936">
        <v>0</v>
      </c>
    </row>
    <row r="937" spans="1:14" x14ac:dyDescent="0.2">
      <c r="A937" s="1">
        <v>45733</v>
      </c>
      <c r="B937">
        <v>1</v>
      </c>
      <c r="C937" t="s">
        <v>16</v>
      </c>
      <c r="D937" s="2">
        <v>0.40486111111111112</v>
      </c>
      <c r="E937">
        <v>19804.64</v>
      </c>
      <c r="F937" s="2">
        <v>0.40555555555555556</v>
      </c>
      <c r="G937">
        <v>19790.77</v>
      </c>
      <c r="H937">
        <v>19790.77</v>
      </c>
      <c r="I937">
        <v>19839.29</v>
      </c>
      <c r="J937" t="s">
        <v>15</v>
      </c>
      <c r="K937">
        <v>-13.86</v>
      </c>
      <c r="L937" s="9">
        <v>-1</v>
      </c>
      <c r="M937">
        <v>0</v>
      </c>
      <c r="N937">
        <v>0</v>
      </c>
    </row>
    <row r="938" spans="1:14" x14ac:dyDescent="0.2">
      <c r="A938" s="1">
        <v>45734</v>
      </c>
      <c r="B938">
        <v>2</v>
      </c>
      <c r="C938" t="s">
        <v>13</v>
      </c>
      <c r="D938" s="2">
        <v>0.40208333333333335</v>
      </c>
      <c r="E938">
        <v>19576.419999999998</v>
      </c>
      <c r="F938" s="2">
        <v>0.40277777777777779</v>
      </c>
      <c r="G938">
        <v>19542.16</v>
      </c>
      <c r="H938">
        <v>19590.12</v>
      </c>
      <c r="I938">
        <v>19542.16</v>
      </c>
      <c r="J938" t="s">
        <v>14</v>
      </c>
      <c r="K938">
        <v>34.26</v>
      </c>
      <c r="L938" s="9">
        <v>2.5</v>
      </c>
      <c r="M938">
        <v>1</v>
      </c>
      <c r="N938">
        <v>0</v>
      </c>
    </row>
    <row r="939" spans="1:14" x14ac:dyDescent="0.2">
      <c r="A939" s="1">
        <v>45734</v>
      </c>
      <c r="B939">
        <v>2</v>
      </c>
      <c r="C939" t="s">
        <v>16</v>
      </c>
      <c r="D939" s="2">
        <v>0.44513888888888886</v>
      </c>
      <c r="E939">
        <v>19487.509999999998</v>
      </c>
      <c r="F939" s="2">
        <v>0.44722222222222224</v>
      </c>
      <c r="G939">
        <v>19473.87</v>
      </c>
      <c r="H939">
        <v>19473.87</v>
      </c>
      <c r="I939">
        <v>19521.62</v>
      </c>
      <c r="J939" t="s">
        <v>15</v>
      </c>
      <c r="K939">
        <v>-13.64</v>
      </c>
      <c r="L939" s="9">
        <v>-1</v>
      </c>
      <c r="M939">
        <v>0</v>
      </c>
      <c r="N939">
        <v>0</v>
      </c>
    </row>
    <row r="940" spans="1:14" x14ac:dyDescent="0.2">
      <c r="A940" s="1">
        <v>45736</v>
      </c>
      <c r="B940">
        <v>4</v>
      </c>
      <c r="C940" t="s">
        <v>16</v>
      </c>
      <c r="D940" s="2">
        <v>0.40555555555555556</v>
      </c>
      <c r="E940">
        <v>19664.39</v>
      </c>
      <c r="F940" s="2">
        <v>0.40694444444444444</v>
      </c>
      <c r="G940">
        <v>19698.8</v>
      </c>
      <c r="H940">
        <v>19650.62</v>
      </c>
      <c r="I940">
        <v>19698.8</v>
      </c>
      <c r="J940" t="s">
        <v>14</v>
      </c>
      <c r="K940">
        <v>34.409999999999997</v>
      </c>
      <c r="L940" s="9">
        <v>2.5</v>
      </c>
      <c r="M940">
        <v>1</v>
      </c>
      <c r="N940">
        <v>0</v>
      </c>
    </row>
    <row r="941" spans="1:14" x14ac:dyDescent="0.2">
      <c r="A941" s="1">
        <v>45737</v>
      </c>
      <c r="B941">
        <v>5</v>
      </c>
      <c r="C941" t="s">
        <v>16</v>
      </c>
      <c r="D941" s="2">
        <v>0.41111111111111109</v>
      </c>
      <c r="E941">
        <v>19510</v>
      </c>
      <c r="F941" s="2">
        <v>0.41180555555555554</v>
      </c>
      <c r="G941">
        <v>19496.34</v>
      </c>
      <c r="H941">
        <v>19496.34</v>
      </c>
      <c r="I941">
        <v>19544.14</v>
      </c>
      <c r="J941" t="s">
        <v>15</v>
      </c>
      <c r="K941">
        <v>-13.66</v>
      </c>
      <c r="L941" s="9">
        <v>-1</v>
      </c>
      <c r="M941">
        <v>0</v>
      </c>
      <c r="N941">
        <v>0</v>
      </c>
    </row>
    <row r="942" spans="1:14" x14ac:dyDescent="0.2">
      <c r="A942" s="1">
        <v>45737</v>
      </c>
      <c r="B942">
        <v>5</v>
      </c>
      <c r="C942" t="s">
        <v>16</v>
      </c>
      <c r="D942" s="2">
        <v>0.43402777777777779</v>
      </c>
      <c r="E942">
        <v>19544.099999999999</v>
      </c>
      <c r="F942" s="2">
        <v>0.4375</v>
      </c>
      <c r="G942">
        <v>19530.419999999998</v>
      </c>
      <c r="H942">
        <v>19530.419999999998</v>
      </c>
      <c r="I942">
        <v>19578.3</v>
      </c>
      <c r="J942" t="s">
        <v>15</v>
      </c>
      <c r="K942">
        <v>-13.68</v>
      </c>
      <c r="L942" s="9">
        <v>-1</v>
      </c>
      <c r="M942">
        <v>0</v>
      </c>
      <c r="N942">
        <v>2</v>
      </c>
    </row>
    <row r="943" spans="1:14" x14ac:dyDescent="0.2">
      <c r="A943" s="1">
        <v>45741</v>
      </c>
      <c r="B943">
        <v>2</v>
      </c>
      <c r="C943" t="s">
        <v>13</v>
      </c>
      <c r="D943" s="2">
        <v>0.40138888888888891</v>
      </c>
      <c r="E943">
        <v>20196.98</v>
      </c>
      <c r="F943" s="2">
        <v>0.40277777777777779</v>
      </c>
      <c r="G943">
        <v>20211.12</v>
      </c>
      <c r="H943">
        <v>20211.12</v>
      </c>
      <c r="I943">
        <v>20161.64</v>
      </c>
      <c r="J943" t="s">
        <v>15</v>
      </c>
      <c r="K943">
        <v>-14.14</v>
      </c>
      <c r="L943" s="9">
        <v>-1</v>
      </c>
      <c r="M943">
        <v>0</v>
      </c>
      <c r="N943">
        <v>3</v>
      </c>
    </row>
    <row r="944" spans="1:14" x14ac:dyDescent="0.2">
      <c r="A944" s="1">
        <v>45741</v>
      </c>
      <c r="B944">
        <v>2</v>
      </c>
      <c r="C944" t="s">
        <v>16</v>
      </c>
      <c r="D944" s="2">
        <v>0.4284722222222222</v>
      </c>
      <c r="E944">
        <v>20229.21</v>
      </c>
      <c r="F944" s="2">
        <v>0.44374999999999998</v>
      </c>
      <c r="G944">
        <v>20264.61</v>
      </c>
      <c r="H944">
        <v>20215.05</v>
      </c>
      <c r="I944">
        <v>20264.61</v>
      </c>
      <c r="J944" t="s">
        <v>14</v>
      </c>
      <c r="K944">
        <v>35.4</v>
      </c>
      <c r="L944" s="9">
        <v>2.5</v>
      </c>
      <c r="M944">
        <v>1</v>
      </c>
      <c r="N944">
        <v>0</v>
      </c>
    </row>
    <row r="945" spans="1:14" x14ac:dyDescent="0.2">
      <c r="A945" s="1">
        <v>45742</v>
      </c>
      <c r="B945">
        <v>3</v>
      </c>
      <c r="C945" t="s">
        <v>13</v>
      </c>
      <c r="D945" s="2">
        <v>0.39583333333333331</v>
      </c>
      <c r="E945">
        <v>20245.63</v>
      </c>
      <c r="F945" s="2">
        <v>0.3972222222222222</v>
      </c>
      <c r="G945">
        <v>20259.810000000001</v>
      </c>
      <c r="H945">
        <v>20259.810000000001</v>
      </c>
      <c r="I945">
        <v>20210.2</v>
      </c>
      <c r="J945" t="s">
        <v>15</v>
      </c>
      <c r="K945">
        <v>-14.17</v>
      </c>
      <c r="L945" s="9">
        <v>-1</v>
      </c>
      <c r="M945">
        <v>0</v>
      </c>
      <c r="N945">
        <v>0</v>
      </c>
    </row>
    <row r="946" spans="1:14" x14ac:dyDescent="0.2">
      <c r="A946" s="1">
        <v>45742</v>
      </c>
      <c r="B946">
        <v>3</v>
      </c>
      <c r="C946" t="s">
        <v>13</v>
      </c>
      <c r="D946" s="2">
        <v>0.41041666666666665</v>
      </c>
      <c r="E946">
        <v>20207.13</v>
      </c>
      <c r="F946" s="2">
        <v>0.41180555555555554</v>
      </c>
      <c r="G946">
        <v>20171.77</v>
      </c>
      <c r="H946">
        <v>20221.27</v>
      </c>
      <c r="I946">
        <v>20171.77</v>
      </c>
      <c r="J946" t="s">
        <v>14</v>
      </c>
      <c r="K946">
        <v>35.36</v>
      </c>
      <c r="L946" s="9">
        <v>2.5</v>
      </c>
      <c r="M946">
        <v>1</v>
      </c>
      <c r="N946">
        <v>0</v>
      </c>
    </row>
    <row r="947" spans="1:14" x14ac:dyDescent="0.2">
      <c r="A947" s="1">
        <v>45743</v>
      </c>
      <c r="B947">
        <v>4</v>
      </c>
      <c r="C947" t="s">
        <v>13</v>
      </c>
      <c r="D947" s="2">
        <v>0.40347222222222223</v>
      </c>
      <c r="E947">
        <v>19765.759999999998</v>
      </c>
      <c r="F947" s="2">
        <v>0.40555555555555556</v>
      </c>
      <c r="G947">
        <v>19779.599999999999</v>
      </c>
      <c r="H947">
        <v>19779.599999999999</v>
      </c>
      <c r="I947">
        <v>19731.169999999998</v>
      </c>
      <c r="J947" t="s">
        <v>15</v>
      </c>
      <c r="K947">
        <v>-13.84</v>
      </c>
      <c r="L947" s="9">
        <v>-1</v>
      </c>
      <c r="M947">
        <v>0</v>
      </c>
      <c r="N947">
        <v>0</v>
      </c>
    </row>
    <row r="948" spans="1:14" x14ac:dyDescent="0.2">
      <c r="A948" s="1">
        <v>45743</v>
      </c>
      <c r="B948">
        <v>4</v>
      </c>
      <c r="C948" t="s">
        <v>16</v>
      </c>
      <c r="D948" s="2">
        <v>0.41666666666666669</v>
      </c>
      <c r="E948">
        <v>19880.150000000001</v>
      </c>
      <c r="F948" s="2">
        <v>0.42152777777777778</v>
      </c>
      <c r="G948">
        <v>19866.23</v>
      </c>
      <c r="H948">
        <v>19866.23</v>
      </c>
      <c r="I948">
        <v>19914.939999999999</v>
      </c>
      <c r="J948" t="s">
        <v>15</v>
      </c>
      <c r="K948">
        <v>-13.92</v>
      </c>
      <c r="L948" s="9">
        <v>-1</v>
      </c>
      <c r="M948">
        <v>0</v>
      </c>
      <c r="N948">
        <v>2</v>
      </c>
    </row>
    <row r="949" spans="1:14" x14ac:dyDescent="0.2">
      <c r="A949" s="1">
        <v>45743</v>
      </c>
      <c r="B949">
        <v>4</v>
      </c>
      <c r="C949" t="s">
        <v>16</v>
      </c>
      <c r="D949" s="2">
        <v>0.44166666666666665</v>
      </c>
      <c r="E949">
        <v>19931.48</v>
      </c>
      <c r="F949" s="2">
        <v>0.44305555555555554</v>
      </c>
      <c r="G949">
        <v>19966.36</v>
      </c>
      <c r="H949">
        <v>19917.53</v>
      </c>
      <c r="I949">
        <v>19966.36</v>
      </c>
      <c r="J949" t="s">
        <v>14</v>
      </c>
      <c r="K949">
        <v>34.880000000000003</v>
      </c>
      <c r="L949" s="9">
        <v>2.5</v>
      </c>
      <c r="M949">
        <v>1</v>
      </c>
      <c r="N949">
        <v>0</v>
      </c>
    </row>
    <row r="950" spans="1:14" x14ac:dyDescent="0.2">
      <c r="A950" s="1">
        <v>45744</v>
      </c>
      <c r="B950">
        <v>5</v>
      </c>
      <c r="C950" t="s">
        <v>13</v>
      </c>
      <c r="D950" s="2">
        <v>0.4152777777777778</v>
      </c>
      <c r="E950">
        <v>19674.240000000002</v>
      </c>
      <c r="F950" s="2">
        <v>0.41666666666666669</v>
      </c>
      <c r="G950">
        <v>19688.009999999998</v>
      </c>
      <c r="H950">
        <v>19688.009999999998</v>
      </c>
      <c r="I950">
        <v>19639.810000000001</v>
      </c>
      <c r="J950" t="s">
        <v>17</v>
      </c>
      <c r="K950">
        <v>-13.77</v>
      </c>
      <c r="L950" s="9">
        <v>-1</v>
      </c>
      <c r="M950">
        <v>0</v>
      </c>
      <c r="N950">
        <v>0</v>
      </c>
    </row>
    <row r="951" spans="1:14" x14ac:dyDescent="0.2">
      <c r="A951" s="1">
        <v>45747</v>
      </c>
      <c r="B951">
        <v>1</v>
      </c>
      <c r="C951" t="s">
        <v>13</v>
      </c>
      <c r="D951" s="2">
        <v>0.39583333333333331</v>
      </c>
      <c r="E951">
        <v>18988.580000000002</v>
      </c>
      <c r="F951" s="2">
        <v>0.39652777777777776</v>
      </c>
      <c r="G951">
        <v>18955.349999999999</v>
      </c>
      <c r="H951">
        <v>19001.87</v>
      </c>
      <c r="I951">
        <v>18955.349999999999</v>
      </c>
      <c r="J951" t="s">
        <v>14</v>
      </c>
      <c r="K951">
        <v>33.229999999999997</v>
      </c>
      <c r="L951" s="9">
        <v>2.5</v>
      </c>
      <c r="M951">
        <v>1</v>
      </c>
      <c r="N951">
        <v>0</v>
      </c>
    </row>
    <row r="952" spans="1:14" x14ac:dyDescent="0.2">
      <c r="A952" s="1">
        <v>45747</v>
      </c>
      <c r="B952">
        <v>1</v>
      </c>
      <c r="C952" t="s">
        <v>16</v>
      </c>
      <c r="D952" s="2">
        <v>0.42430555555555555</v>
      </c>
      <c r="E952">
        <v>18961.18</v>
      </c>
      <c r="F952" s="2">
        <v>0.42499999999999999</v>
      </c>
      <c r="G952">
        <v>18947.91</v>
      </c>
      <c r="H952">
        <v>18947.91</v>
      </c>
      <c r="I952">
        <v>18994.36</v>
      </c>
      <c r="J952" t="s">
        <v>15</v>
      </c>
      <c r="K952">
        <v>-13.27</v>
      </c>
      <c r="L952" s="9">
        <v>-1</v>
      </c>
      <c r="M952">
        <v>0</v>
      </c>
      <c r="N952">
        <v>0</v>
      </c>
    </row>
    <row r="953" spans="1:14" x14ac:dyDescent="0.2">
      <c r="A953" s="1">
        <v>45747</v>
      </c>
      <c r="B953">
        <v>1</v>
      </c>
      <c r="C953" t="s">
        <v>13</v>
      </c>
      <c r="D953" s="2">
        <v>0.4375</v>
      </c>
      <c r="E953">
        <v>18889.14</v>
      </c>
      <c r="F953" s="2">
        <v>0.43819444444444444</v>
      </c>
      <c r="G953">
        <v>18902.36</v>
      </c>
      <c r="H953">
        <v>18902.36</v>
      </c>
      <c r="I953">
        <v>18856.080000000002</v>
      </c>
      <c r="J953" t="s">
        <v>15</v>
      </c>
      <c r="K953">
        <v>-13.22</v>
      </c>
      <c r="L953" s="9">
        <v>-1</v>
      </c>
      <c r="M953">
        <v>0</v>
      </c>
      <c r="N953">
        <v>2</v>
      </c>
    </row>
    <row r="954" spans="1:14" x14ac:dyDescent="0.2">
      <c r="A954" s="1">
        <v>45750</v>
      </c>
      <c r="B954">
        <v>4</v>
      </c>
      <c r="C954" t="s">
        <v>16</v>
      </c>
      <c r="D954" s="2">
        <v>0.39930555555555558</v>
      </c>
      <c r="E954">
        <v>18838.63</v>
      </c>
      <c r="F954" s="2">
        <v>0.4</v>
      </c>
      <c r="G954">
        <v>18825.45</v>
      </c>
      <c r="H954">
        <v>18825.45</v>
      </c>
      <c r="I954">
        <v>18871.599999999999</v>
      </c>
      <c r="J954" t="s">
        <v>15</v>
      </c>
      <c r="K954">
        <v>-13.19</v>
      </c>
      <c r="L954" s="9">
        <v>-1</v>
      </c>
      <c r="M954">
        <v>0</v>
      </c>
      <c r="N954">
        <v>3</v>
      </c>
    </row>
    <row r="955" spans="1:14" x14ac:dyDescent="0.2">
      <c r="A955" s="1">
        <v>45750</v>
      </c>
      <c r="B955">
        <v>4</v>
      </c>
      <c r="C955" t="s">
        <v>13</v>
      </c>
      <c r="D955" s="2">
        <v>0.4236111111111111</v>
      </c>
      <c r="E955">
        <v>18740.22</v>
      </c>
      <c r="F955" s="2">
        <v>0.42430555555555555</v>
      </c>
      <c r="G955">
        <v>18707.43</v>
      </c>
      <c r="H955">
        <v>18753.34</v>
      </c>
      <c r="I955">
        <v>18707.43</v>
      </c>
      <c r="J955" t="s">
        <v>14</v>
      </c>
      <c r="K955">
        <v>32.799999999999997</v>
      </c>
      <c r="L955" s="9">
        <v>2.5</v>
      </c>
      <c r="M955">
        <v>1</v>
      </c>
      <c r="N955">
        <v>0</v>
      </c>
    </row>
    <row r="956" spans="1:14" x14ac:dyDescent="0.2">
      <c r="A956" s="1">
        <v>45750</v>
      </c>
      <c r="B956">
        <v>4</v>
      </c>
      <c r="C956" t="s">
        <v>13</v>
      </c>
      <c r="D956" s="2">
        <v>0.45347222222222222</v>
      </c>
      <c r="E956">
        <v>18605.3</v>
      </c>
      <c r="F956" s="2">
        <v>0.4548611111111111</v>
      </c>
      <c r="G956">
        <v>18618.330000000002</v>
      </c>
      <c r="H956">
        <v>18618.330000000002</v>
      </c>
      <c r="I956">
        <v>18572.740000000002</v>
      </c>
      <c r="J956" t="s">
        <v>15</v>
      </c>
      <c r="K956">
        <v>-13.02</v>
      </c>
      <c r="L956" s="9">
        <v>-1</v>
      </c>
      <c r="M956">
        <v>0</v>
      </c>
      <c r="N956">
        <v>0</v>
      </c>
    </row>
    <row r="957" spans="1:14" x14ac:dyDescent="0.2">
      <c r="A957" s="1">
        <v>45751</v>
      </c>
      <c r="B957">
        <v>5</v>
      </c>
      <c r="C957" t="s">
        <v>13</v>
      </c>
      <c r="D957" s="2">
        <v>0.40208333333333335</v>
      </c>
      <c r="E957">
        <v>17953.810000000001</v>
      </c>
      <c r="F957" s="2">
        <v>0.40277777777777779</v>
      </c>
      <c r="G957">
        <v>17922.39</v>
      </c>
      <c r="H957">
        <v>17966.38</v>
      </c>
      <c r="I957">
        <v>17922.39</v>
      </c>
      <c r="J957" t="s">
        <v>14</v>
      </c>
      <c r="K957">
        <v>31.42</v>
      </c>
      <c r="L957" s="9">
        <v>2.5</v>
      </c>
      <c r="M957">
        <v>1</v>
      </c>
      <c r="N957">
        <v>0</v>
      </c>
    </row>
    <row r="958" spans="1:14" x14ac:dyDescent="0.2">
      <c r="A958" s="1">
        <v>45751</v>
      </c>
      <c r="B958">
        <v>5</v>
      </c>
      <c r="C958" t="s">
        <v>13</v>
      </c>
      <c r="D958" s="2">
        <v>0.42708333333333331</v>
      </c>
      <c r="E958">
        <v>17851.740000000002</v>
      </c>
      <c r="F958" s="2">
        <v>0.42777777777777776</v>
      </c>
      <c r="G958">
        <v>17820.5</v>
      </c>
      <c r="H958">
        <v>17864.23</v>
      </c>
      <c r="I958">
        <v>17820.5</v>
      </c>
      <c r="J958" t="s">
        <v>14</v>
      </c>
      <c r="K958">
        <v>31.24</v>
      </c>
      <c r="L958" s="9">
        <v>2.5</v>
      </c>
      <c r="M958">
        <v>1</v>
      </c>
      <c r="N958">
        <v>2</v>
      </c>
    </row>
    <row r="959" spans="1:14" x14ac:dyDescent="0.2">
      <c r="A959" s="1">
        <v>45754</v>
      </c>
      <c r="B959">
        <v>1</v>
      </c>
      <c r="C959" t="s">
        <v>13</v>
      </c>
      <c r="D959" s="2">
        <v>0.39652777777777776</v>
      </c>
      <c r="E959">
        <v>16799.080000000002</v>
      </c>
      <c r="F959" s="2">
        <v>0.3972222222222222</v>
      </c>
      <c r="G959">
        <v>16810.84</v>
      </c>
      <c r="H959">
        <v>16810.84</v>
      </c>
      <c r="I959">
        <v>16769.68</v>
      </c>
      <c r="J959" t="s">
        <v>17</v>
      </c>
      <c r="K959">
        <v>-11.76</v>
      </c>
      <c r="L959" s="9">
        <v>-1</v>
      </c>
      <c r="M959">
        <v>0</v>
      </c>
      <c r="N959">
        <v>0</v>
      </c>
    </row>
    <row r="960" spans="1:14" x14ac:dyDescent="0.2">
      <c r="A960" s="1">
        <v>45754</v>
      </c>
      <c r="B960">
        <v>1</v>
      </c>
      <c r="C960" t="s">
        <v>16</v>
      </c>
      <c r="D960" s="2">
        <v>0.41736111111111113</v>
      </c>
      <c r="E960">
        <v>17109.830000000002</v>
      </c>
      <c r="F960" s="2">
        <v>0.41805555555555557</v>
      </c>
      <c r="G960">
        <v>17097.86</v>
      </c>
      <c r="H960">
        <v>17097.86</v>
      </c>
      <c r="I960">
        <v>17139.78</v>
      </c>
      <c r="J960" t="s">
        <v>15</v>
      </c>
      <c r="K960">
        <v>-11.98</v>
      </c>
      <c r="L960" s="9">
        <v>-1</v>
      </c>
      <c r="M960">
        <v>0</v>
      </c>
      <c r="N960">
        <v>2</v>
      </c>
    </row>
    <row r="961" spans="1:14" x14ac:dyDescent="0.2">
      <c r="A961" s="1">
        <v>45754</v>
      </c>
      <c r="B961">
        <v>1</v>
      </c>
      <c r="C961" t="s">
        <v>13</v>
      </c>
      <c r="D961" s="2">
        <v>0.44444444444444442</v>
      </c>
      <c r="E961">
        <v>17113.11</v>
      </c>
      <c r="F961" s="2">
        <v>0.44513888888888886</v>
      </c>
      <c r="G961">
        <v>17083.16</v>
      </c>
      <c r="H961">
        <v>17125.09</v>
      </c>
      <c r="I961">
        <v>17083.16</v>
      </c>
      <c r="J961" t="s">
        <v>14</v>
      </c>
      <c r="K961">
        <v>29.95</v>
      </c>
      <c r="L961" s="9">
        <v>2.5</v>
      </c>
      <c r="M961">
        <v>1</v>
      </c>
      <c r="N961">
        <v>0</v>
      </c>
    </row>
    <row r="962" spans="1:14" x14ac:dyDescent="0.2">
      <c r="A962" s="1">
        <v>45755</v>
      </c>
      <c r="B962">
        <v>2</v>
      </c>
      <c r="C962" t="s">
        <v>16</v>
      </c>
      <c r="D962" s="2">
        <v>0.39583333333333331</v>
      </c>
      <c r="E962">
        <v>18011.150000000001</v>
      </c>
      <c r="F962" s="2">
        <v>0.39652777777777776</v>
      </c>
      <c r="G962">
        <v>17998.54</v>
      </c>
      <c r="H962">
        <v>17998.54</v>
      </c>
      <c r="I962">
        <v>18042.66</v>
      </c>
      <c r="J962" t="s">
        <v>15</v>
      </c>
      <c r="K962">
        <v>-12.61</v>
      </c>
      <c r="L962" s="9">
        <v>-1</v>
      </c>
      <c r="M962">
        <v>0</v>
      </c>
      <c r="N962">
        <v>0</v>
      </c>
    </row>
    <row r="963" spans="1:14" x14ac:dyDescent="0.2">
      <c r="A963" s="1">
        <v>45755</v>
      </c>
      <c r="B963">
        <v>2</v>
      </c>
      <c r="C963" t="s">
        <v>16</v>
      </c>
      <c r="D963" s="2">
        <v>0.41388888888888886</v>
      </c>
      <c r="E963">
        <v>18057.87</v>
      </c>
      <c r="F963" s="2">
        <v>0.41458333333333336</v>
      </c>
      <c r="G963">
        <v>18089.47</v>
      </c>
      <c r="H963">
        <v>18045.23</v>
      </c>
      <c r="I963">
        <v>18089.47</v>
      </c>
      <c r="J963" t="s">
        <v>14</v>
      </c>
      <c r="K963">
        <v>31.6</v>
      </c>
      <c r="L963" s="9">
        <v>2.5</v>
      </c>
      <c r="M963">
        <v>1</v>
      </c>
      <c r="N963">
        <v>0</v>
      </c>
    </row>
    <row r="964" spans="1:14" x14ac:dyDescent="0.2">
      <c r="A964" s="1">
        <v>45755</v>
      </c>
      <c r="B964">
        <v>2</v>
      </c>
      <c r="C964" t="s">
        <v>13</v>
      </c>
      <c r="D964" s="2">
        <v>0.45069444444444445</v>
      </c>
      <c r="E964">
        <v>18096.73</v>
      </c>
      <c r="F964" s="2">
        <v>0.4513888888888889</v>
      </c>
      <c r="G964">
        <v>18065.060000000001</v>
      </c>
      <c r="H964">
        <v>18109.400000000001</v>
      </c>
      <c r="I964">
        <v>18065.060000000001</v>
      </c>
      <c r="J964" t="s">
        <v>14</v>
      </c>
      <c r="K964">
        <v>31.67</v>
      </c>
      <c r="L964" s="9">
        <v>2.5</v>
      </c>
      <c r="M964">
        <v>1</v>
      </c>
      <c r="N964">
        <v>2</v>
      </c>
    </row>
    <row r="965" spans="1:14" x14ac:dyDescent="0.2">
      <c r="A965" s="1">
        <v>45756</v>
      </c>
      <c r="B965">
        <v>3</v>
      </c>
      <c r="C965" t="s">
        <v>16</v>
      </c>
      <c r="D965" s="2">
        <v>0.40486111111111112</v>
      </c>
      <c r="E965">
        <v>17310.45</v>
      </c>
      <c r="F965" s="2">
        <v>0.40555555555555556</v>
      </c>
      <c r="G965">
        <v>17298.34</v>
      </c>
      <c r="H965">
        <v>17298.34</v>
      </c>
      <c r="I965">
        <v>17340.75</v>
      </c>
      <c r="J965" t="s">
        <v>15</v>
      </c>
      <c r="K965">
        <v>-12.12</v>
      </c>
      <c r="L965" s="9">
        <v>-1</v>
      </c>
      <c r="M965">
        <v>0</v>
      </c>
      <c r="N965">
        <v>0</v>
      </c>
    </row>
    <row r="966" spans="1:14" x14ac:dyDescent="0.2">
      <c r="A966" s="1">
        <v>45756</v>
      </c>
      <c r="B966">
        <v>3</v>
      </c>
      <c r="C966" t="s">
        <v>13</v>
      </c>
      <c r="D966" s="2">
        <v>0.4548611111111111</v>
      </c>
      <c r="E966">
        <v>17165.22</v>
      </c>
      <c r="F966" s="2">
        <v>0.45555555555555555</v>
      </c>
      <c r="G966">
        <v>17135.18</v>
      </c>
      <c r="H966">
        <v>17177.23</v>
      </c>
      <c r="I966">
        <v>17135.18</v>
      </c>
      <c r="J966" t="s">
        <v>14</v>
      </c>
      <c r="K966">
        <v>30.04</v>
      </c>
      <c r="L966" s="9">
        <v>2.5</v>
      </c>
      <c r="M966">
        <v>1</v>
      </c>
      <c r="N966">
        <v>0</v>
      </c>
    </row>
    <row r="967" spans="1:14" x14ac:dyDescent="0.2">
      <c r="A967" s="1">
        <v>45757</v>
      </c>
      <c r="B967">
        <v>4</v>
      </c>
      <c r="C967" t="s">
        <v>13</v>
      </c>
      <c r="D967" s="2">
        <v>0.40625</v>
      </c>
      <c r="E967">
        <v>18590.47</v>
      </c>
      <c r="F967" s="2">
        <v>0.40694444444444444</v>
      </c>
      <c r="G967">
        <v>18603.48</v>
      </c>
      <c r="H967">
        <v>18603.48</v>
      </c>
      <c r="I967">
        <v>18557.939999999999</v>
      </c>
      <c r="J967" t="s">
        <v>15</v>
      </c>
      <c r="K967">
        <v>-13.01</v>
      </c>
      <c r="L967" s="9">
        <v>-1</v>
      </c>
      <c r="M967">
        <v>0</v>
      </c>
      <c r="N967">
        <v>0</v>
      </c>
    </row>
    <row r="968" spans="1:14" x14ac:dyDescent="0.2">
      <c r="A968" s="1">
        <v>45757</v>
      </c>
      <c r="B968">
        <v>4</v>
      </c>
      <c r="C968" t="s">
        <v>13</v>
      </c>
      <c r="D968" s="2">
        <v>0.41666666666666669</v>
      </c>
      <c r="E968">
        <v>18544.259999999998</v>
      </c>
      <c r="F968" s="2">
        <v>0.41736111111111113</v>
      </c>
      <c r="G968">
        <v>18511.810000000001</v>
      </c>
      <c r="H968">
        <v>18557.240000000002</v>
      </c>
      <c r="I968">
        <v>18511.810000000001</v>
      </c>
      <c r="J968" t="s">
        <v>14</v>
      </c>
      <c r="K968">
        <v>32.450000000000003</v>
      </c>
      <c r="L968" s="9">
        <v>2.5</v>
      </c>
      <c r="M968">
        <v>1</v>
      </c>
      <c r="N968">
        <v>0</v>
      </c>
    </row>
    <row r="969" spans="1:14" x14ac:dyDescent="0.2">
      <c r="A969" s="1">
        <v>45757</v>
      </c>
      <c r="B969">
        <v>4</v>
      </c>
      <c r="C969" t="s">
        <v>16</v>
      </c>
      <c r="D969" s="2">
        <v>0.44097222222222221</v>
      </c>
      <c r="E969">
        <v>18583.560000000001</v>
      </c>
      <c r="F969" s="2">
        <v>0.44166666666666665</v>
      </c>
      <c r="G969">
        <v>18616.080000000002</v>
      </c>
      <c r="H969">
        <v>18570.55</v>
      </c>
      <c r="I969">
        <v>18616.080000000002</v>
      </c>
      <c r="J969" t="s">
        <v>14</v>
      </c>
      <c r="K969">
        <v>32.520000000000003</v>
      </c>
      <c r="L969" s="9">
        <v>2.5</v>
      </c>
      <c r="M969">
        <v>1</v>
      </c>
      <c r="N969">
        <v>2</v>
      </c>
    </row>
    <row r="970" spans="1:14" x14ac:dyDescent="0.2">
      <c r="A970" s="1">
        <v>45758</v>
      </c>
      <c r="B970">
        <v>5</v>
      </c>
      <c r="C970" t="s">
        <v>16</v>
      </c>
      <c r="D970" s="2">
        <v>0.40902777777777777</v>
      </c>
      <c r="E970">
        <v>18436.14</v>
      </c>
      <c r="F970" s="2">
        <v>0.40972222222222221</v>
      </c>
      <c r="G970">
        <v>18423.240000000002</v>
      </c>
      <c r="H970">
        <v>18423.240000000002</v>
      </c>
      <c r="I970">
        <v>18468.41</v>
      </c>
      <c r="J970" t="s">
        <v>15</v>
      </c>
      <c r="K970">
        <v>-12.91</v>
      </c>
      <c r="L970" s="9">
        <v>-1</v>
      </c>
      <c r="M970">
        <v>0</v>
      </c>
      <c r="N970">
        <v>0</v>
      </c>
    </row>
    <row r="971" spans="1:14" x14ac:dyDescent="0.2">
      <c r="A971" s="1">
        <v>45758</v>
      </c>
      <c r="B971">
        <v>5</v>
      </c>
      <c r="C971" t="s">
        <v>13</v>
      </c>
      <c r="D971" s="2">
        <v>0.43333333333333335</v>
      </c>
      <c r="E971">
        <v>18219.900000000001</v>
      </c>
      <c r="F971" s="2">
        <v>0.43402777777777779</v>
      </c>
      <c r="G971">
        <v>18232.66</v>
      </c>
      <c r="H971">
        <v>18232.66</v>
      </c>
      <c r="I971">
        <v>18188.02</v>
      </c>
      <c r="J971" t="s">
        <v>15</v>
      </c>
      <c r="K971">
        <v>-12.75</v>
      </c>
      <c r="L971" s="9">
        <v>-1</v>
      </c>
      <c r="M971">
        <v>0</v>
      </c>
      <c r="N971">
        <v>2</v>
      </c>
    </row>
    <row r="972" spans="1:14" x14ac:dyDescent="0.2">
      <c r="A972" s="1">
        <v>45758</v>
      </c>
      <c r="B972">
        <v>5</v>
      </c>
      <c r="C972" t="s">
        <v>16</v>
      </c>
      <c r="D972" s="2">
        <v>0.45069444444444445</v>
      </c>
      <c r="E972">
        <v>18371.54</v>
      </c>
      <c r="F972" s="2">
        <v>0.4513888888888889</v>
      </c>
      <c r="G972">
        <v>18358.68</v>
      </c>
      <c r="H972">
        <v>18358.68</v>
      </c>
      <c r="I972">
        <v>18403.689999999999</v>
      </c>
      <c r="J972" t="s">
        <v>15</v>
      </c>
      <c r="K972">
        <v>-12.86</v>
      </c>
      <c r="L972" s="9">
        <v>-1</v>
      </c>
      <c r="M972">
        <v>0</v>
      </c>
      <c r="N972">
        <v>3</v>
      </c>
    </row>
    <row r="973" spans="1:14" x14ac:dyDescent="0.2">
      <c r="A973" s="1">
        <v>45761</v>
      </c>
      <c r="B973">
        <v>1</v>
      </c>
      <c r="C973" t="s">
        <v>13</v>
      </c>
      <c r="D973" s="2">
        <v>0.40555555555555556</v>
      </c>
      <c r="E973">
        <v>18910.03</v>
      </c>
      <c r="F973" s="2">
        <v>0.40625</v>
      </c>
      <c r="G973">
        <v>18923.27</v>
      </c>
      <c r="H973">
        <v>18923.27</v>
      </c>
      <c r="I973">
        <v>18876.939999999999</v>
      </c>
      <c r="J973" t="s">
        <v>15</v>
      </c>
      <c r="K973">
        <v>-13.24</v>
      </c>
      <c r="L973" s="9">
        <v>-1</v>
      </c>
      <c r="M973">
        <v>0</v>
      </c>
      <c r="N973">
        <v>4</v>
      </c>
    </row>
    <row r="974" spans="1:14" x14ac:dyDescent="0.2">
      <c r="A974" s="1">
        <v>45761</v>
      </c>
      <c r="B974">
        <v>1</v>
      </c>
      <c r="C974" t="s">
        <v>16</v>
      </c>
      <c r="D974" s="2">
        <v>0.44444444444444442</v>
      </c>
      <c r="E974">
        <v>19009.84</v>
      </c>
      <c r="F974" s="2">
        <v>0.44861111111111113</v>
      </c>
      <c r="G974">
        <v>18996.53</v>
      </c>
      <c r="H974">
        <v>18996.53</v>
      </c>
      <c r="I974">
        <v>19043.11</v>
      </c>
      <c r="J974" t="s">
        <v>15</v>
      </c>
      <c r="K974">
        <v>-13.31</v>
      </c>
      <c r="L974" s="9">
        <v>-1</v>
      </c>
      <c r="M974">
        <v>0</v>
      </c>
      <c r="N974">
        <v>5</v>
      </c>
    </row>
    <row r="975" spans="1:14" x14ac:dyDescent="0.2">
      <c r="A975" s="1">
        <v>45762</v>
      </c>
      <c r="B975">
        <v>2</v>
      </c>
      <c r="C975" t="s">
        <v>16</v>
      </c>
      <c r="D975" s="2">
        <v>0.39583333333333331</v>
      </c>
      <c r="E975">
        <v>18835.72</v>
      </c>
      <c r="F975" s="2">
        <v>0.3972222222222222</v>
      </c>
      <c r="G975">
        <v>18868.68</v>
      </c>
      <c r="H975">
        <v>18822.53</v>
      </c>
      <c r="I975">
        <v>18868.68</v>
      </c>
      <c r="J975" t="s">
        <v>14</v>
      </c>
      <c r="K975">
        <v>32.96</v>
      </c>
      <c r="L975" s="9">
        <v>2.5</v>
      </c>
      <c r="M975">
        <v>1</v>
      </c>
      <c r="N975">
        <v>0</v>
      </c>
    </row>
    <row r="976" spans="1:14" x14ac:dyDescent="0.2">
      <c r="A976" s="1">
        <v>45762</v>
      </c>
      <c r="B976">
        <v>2</v>
      </c>
      <c r="C976" t="s">
        <v>13</v>
      </c>
      <c r="D976" s="2">
        <v>0.43611111111111112</v>
      </c>
      <c r="E976">
        <v>18830.96</v>
      </c>
      <c r="F976" s="2">
        <v>0.43680555555555556</v>
      </c>
      <c r="G976">
        <v>18844.14</v>
      </c>
      <c r="H976">
        <v>18844.14</v>
      </c>
      <c r="I976">
        <v>18798.009999999998</v>
      </c>
      <c r="J976" t="s">
        <v>15</v>
      </c>
      <c r="K976">
        <v>-13.18</v>
      </c>
      <c r="L976" s="9">
        <v>-1</v>
      </c>
      <c r="M976">
        <v>0</v>
      </c>
      <c r="N976">
        <v>0</v>
      </c>
    </row>
    <row r="977" spans="1:14" x14ac:dyDescent="0.2">
      <c r="A977" s="1">
        <v>45763</v>
      </c>
      <c r="B977">
        <v>3</v>
      </c>
      <c r="C977" t="s">
        <v>13</v>
      </c>
      <c r="D977" s="2">
        <v>0.41388888888888886</v>
      </c>
      <c r="E977">
        <v>18424.14</v>
      </c>
      <c r="F977" s="2">
        <v>0.41458333333333336</v>
      </c>
      <c r="G977">
        <v>18437.03</v>
      </c>
      <c r="H977">
        <v>18437.03</v>
      </c>
      <c r="I977">
        <v>18391.89</v>
      </c>
      <c r="J977" t="s">
        <v>15</v>
      </c>
      <c r="K977">
        <v>-12.9</v>
      </c>
      <c r="L977" s="9">
        <v>-1</v>
      </c>
      <c r="M977">
        <v>0</v>
      </c>
      <c r="N977">
        <v>2</v>
      </c>
    </row>
    <row r="978" spans="1:14" x14ac:dyDescent="0.2">
      <c r="A978" s="1">
        <v>45763</v>
      </c>
      <c r="B978">
        <v>3</v>
      </c>
      <c r="C978" t="s">
        <v>16</v>
      </c>
      <c r="D978" s="2">
        <v>0.4375</v>
      </c>
      <c r="E978">
        <v>18482.96</v>
      </c>
      <c r="F978" s="2">
        <v>0.43819444444444444</v>
      </c>
      <c r="G978">
        <v>18470.03</v>
      </c>
      <c r="H978">
        <v>18470.03</v>
      </c>
      <c r="I978">
        <v>18515.310000000001</v>
      </c>
      <c r="J978" t="s">
        <v>15</v>
      </c>
      <c r="K978">
        <v>-12.94</v>
      </c>
      <c r="L978" s="9">
        <v>-1</v>
      </c>
      <c r="M978">
        <v>0</v>
      </c>
      <c r="N978">
        <v>3</v>
      </c>
    </row>
    <row r="979" spans="1:14" x14ac:dyDescent="0.2">
      <c r="A979" s="1">
        <v>45764</v>
      </c>
      <c r="B979">
        <v>4</v>
      </c>
      <c r="C979" t="s">
        <v>13</v>
      </c>
      <c r="D979" s="2">
        <v>0.4</v>
      </c>
      <c r="E979">
        <v>18311.11</v>
      </c>
      <c r="F979" s="2">
        <v>0.40069444444444446</v>
      </c>
      <c r="G979">
        <v>18279.07</v>
      </c>
      <c r="H979">
        <v>18323.93</v>
      </c>
      <c r="I979">
        <v>18279.07</v>
      </c>
      <c r="J979" t="s">
        <v>14</v>
      </c>
      <c r="K979">
        <v>32.04</v>
      </c>
      <c r="L979" s="9">
        <v>2.5</v>
      </c>
      <c r="M979">
        <v>1</v>
      </c>
      <c r="N979">
        <v>0</v>
      </c>
    </row>
    <row r="980" spans="1:14" x14ac:dyDescent="0.2">
      <c r="A980" s="1">
        <v>45764</v>
      </c>
      <c r="B980">
        <v>4</v>
      </c>
      <c r="C980" t="s">
        <v>13</v>
      </c>
      <c r="D980" s="2">
        <v>0.43194444444444446</v>
      </c>
      <c r="E980">
        <v>18261.330000000002</v>
      </c>
      <c r="F980" s="2">
        <v>0.43402777777777779</v>
      </c>
      <c r="G980">
        <v>18229.37</v>
      </c>
      <c r="H980">
        <v>18274.11</v>
      </c>
      <c r="I980">
        <v>18229.37</v>
      </c>
      <c r="J980" t="s">
        <v>14</v>
      </c>
      <c r="K980">
        <v>31.96</v>
      </c>
      <c r="L980" s="9">
        <v>2.5</v>
      </c>
      <c r="M980">
        <v>1</v>
      </c>
      <c r="N980">
        <v>2</v>
      </c>
    </row>
    <row r="981" spans="1:14" x14ac:dyDescent="0.2">
      <c r="A981" s="1">
        <v>45768</v>
      </c>
      <c r="B981">
        <v>1</v>
      </c>
      <c r="C981" t="s">
        <v>13</v>
      </c>
      <c r="D981" s="2">
        <v>0.42152777777777778</v>
      </c>
      <c r="E981">
        <v>17843.689999999999</v>
      </c>
      <c r="F981" s="2">
        <v>0.42777777777777776</v>
      </c>
      <c r="G981">
        <v>17812.46</v>
      </c>
      <c r="H981">
        <v>17856.18</v>
      </c>
      <c r="I981">
        <v>17812.46</v>
      </c>
      <c r="J981" t="s">
        <v>14</v>
      </c>
      <c r="K981">
        <v>31.23</v>
      </c>
      <c r="L981" s="9">
        <v>2.5</v>
      </c>
      <c r="M981">
        <v>1</v>
      </c>
      <c r="N981">
        <v>3</v>
      </c>
    </row>
    <row r="982" spans="1:14" x14ac:dyDescent="0.2">
      <c r="A982" s="1">
        <v>45769</v>
      </c>
      <c r="B982">
        <v>2</v>
      </c>
      <c r="C982" t="s">
        <v>16</v>
      </c>
      <c r="D982" s="2">
        <v>0.39583333333333331</v>
      </c>
      <c r="E982">
        <v>18028.68</v>
      </c>
      <c r="F982" s="2">
        <v>0.39652777777777776</v>
      </c>
      <c r="G982">
        <v>18016.060000000001</v>
      </c>
      <c r="H982">
        <v>18016.060000000001</v>
      </c>
      <c r="I982">
        <v>18060.23</v>
      </c>
      <c r="J982" t="s">
        <v>15</v>
      </c>
      <c r="K982">
        <v>-12.62</v>
      </c>
      <c r="L982" s="9">
        <v>-1</v>
      </c>
      <c r="M982">
        <v>0</v>
      </c>
      <c r="N982">
        <v>0</v>
      </c>
    </row>
    <row r="983" spans="1:14" x14ac:dyDescent="0.2">
      <c r="A983" s="1">
        <v>45769</v>
      </c>
      <c r="B983">
        <v>2</v>
      </c>
      <c r="C983" t="s">
        <v>16</v>
      </c>
      <c r="D983" s="2">
        <v>0.40902777777777777</v>
      </c>
      <c r="E983">
        <v>18115.28</v>
      </c>
      <c r="F983" s="2">
        <v>0.41111111111111109</v>
      </c>
      <c r="G983">
        <v>18102.599999999999</v>
      </c>
      <c r="H983">
        <v>18102.599999999999</v>
      </c>
      <c r="I983">
        <v>18146.990000000002</v>
      </c>
      <c r="J983" t="s">
        <v>15</v>
      </c>
      <c r="K983">
        <v>-12.68</v>
      </c>
      <c r="L983" s="9">
        <v>-1</v>
      </c>
      <c r="M983">
        <v>0</v>
      </c>
      <c r="N983">
        <v>2</v>
      </c>
    </row>
    <row r="984" spans="1:14" x14ac:dyDescent="0.2">
      <c r="A984" s="1">
        <v>45769</v>
      </c>
      <c r="B984">
        <v>2</v>
      </c>
      <c r="C984" t="s">
        <v>16</v>
      </c>
      <c r="D984" s="2">
        <v>0.44583333333333336</v>
      </c>
      <c r="E984">
        <v>18189.16</v>
      </c>
      <c r="F984" s="2">
        <v>0.45</v>
      </c>
      <c r="G984">
        <v>18220.990000000002</v>
      </c>
      <c r="H984">
        <v>18176.43</v>
      </c>
      <c r="I984">
        <v>18220.990000000002</v>
      </c>
      <c r="J984" t="s">
        <v>14</v>
      </c>
      <c r="K984">
        <v>31.83</v>
      </c>
      <c r="L984" s="9">
        <v>2.5</v>
      </c>
      <c r="M984">
        <v>1</v>
      </c>
      <c r="N984">
        <v>0</v>
      </c>
    </row>
    <row r="985" spans="1:14" x14ac:dyDescent="0.2">
      <c r="A985" s="1">
        <v>45771</v>
      </c>
      <c r="B985">
        <v>4</v>
      </c>
      <c r="C985" t="s">
        <v>16</v>
      </c>
      <c r="D985" s="2">
        <v>0.40833333333333333</v>
      </c>
      <c r="E985">
        <v>18851.34</v>
      </c>
      <c r="F985" s="2">
        <v>0.41111111111111109</v>
      </c>
      <c r="G985">
        <v>18884.330000000002</v>
      </c>
      <c r="H985">
        <v>18838.14</v>
      </c>
      <c r="I985">
        <v>18884.330000000002</v>
      </c>
      <c r="J985" t="s">
        <v>14</v>
      </c>
      <c r="K985">
        <v>32.99</v>
      </c>
      <c r="L985" s="9">
        <v>2.5</v>
      </c>
      <c r="M985">
        <v>1</v>
      </c>
      <c r="N985">
        <v>2</v>
      </c>
    </row>
    <row r="986" spans="1:14" x14ac:dyDescent="0.2">
      <c r="A986" s="1">
        <v>45772</v>
      </c>
      <c r="B986">
        <v>5</v>
      </c>
      <c r="C986" t="s">
        <v>16</v>
      </c>
      <c r="D986" s="2">
        <v>0.39583333333333331</v>
      </c>
      <c r="E986">
        <v>19192.669999999998</v>
      </c>
      <c r="F986" s="2">
        <v>0.39652777777777776</v>
      </c>
      <c r="G986">
        <v>19179.23</v>
      </c>
      <c r="H986">
        <v>19179.23</v>
      </c>
      <c r="I986">
        <v>19226.259999999998</v>
      </c>
      <c r="J986" t="s">
        <v>15</v>
      </c>
      <c r="K986">
        <v>-13.43</v>
      </c>
      <c r="L986" s="9">
        <v>-1</v>
      </c>
      <c r="M986">
        <v>0</v>
      </c>
      <c r="N986">
        <v>0</v>
      </c>
    </row>
    <row r="987" spans="1:14" x14ac:dyDescent="0.2">
      <c r="A987" s="1">
        <v>45772</v>
      </c>
      <c r="B987">
        <v>5</v>
      </c>
      <c r="C987" t="s">
        <v>16</v>
      </c>
      <c r="D987" s="2">
        <v>0.42569444444444443</v>
      </c>
      <c r="E987">
        <v>19273.89</v>
      </c>
      <c r="F987" s="2">
        <v>0.42777777777777776</v>
      </c>
      <c r="G987">
        <v>19260.400000000001</v>
      </c>
      <c r="H987">
        <v>19260.400000000001</v>
      </c>
      <c r="I987">
        <v>19307.62</v>
      </c>
      <c r="J987" t="s">
        <v>15</v>
      </c>
      <c r="K987">
        <v>-13.49</v>
      </c>
      <c r="L987" s="9">
        <v>-1</v>
      </c>
      <c r="M987">
        <v>0</v>
      </c>
      <c r="N987">
        <v>2</v>
      </c>
    </row>
    <row r="988" spans="1:14" x14ac:dyDescent="0.2">
      <c r="A988" s="1">
        <v>45772</v>
      </c>
      <c r="B988">
        <v>5</v>
      </c>
      <c r="C988" t="s">
        <v>13</v>
      </c>
      <c r="D988" s="2">
        <v>0.43888888888888888</v>
      </c>
      <c r="E988">
        <v>19158.849999999999</v>
      </c>
      <c r="F988" s="2">
        <v>0.43958333333333333</v>
      </c>
      <c r="G988">
        <v>19172.259999999998</v>
      </c>
      <c r="H988">
        <v>19172.259999999998</v>
      </c>
      <c r="I988">
        <v>19125.32</v>
      </c>
      <c r="J988" t="s">
        <v>15</v>
      </c>
      <c r="K988">
        <v>-13.41</v>
      </c>
      <c r="L988" s="9">
        <v>-1</v>
      </c>
      <c r="M988">
        <v>0</v>
      </c>
      <c r="N988">
        <v>3</v>
      </c>
    </row>
    <row r="989" spans="1:14" x14ac:dyDescent="0.2">
      <c r="A989" s="1">
        <v>45775</v>
      </c>
      <c r="B989">
        <v>1</v>
      </c>
      <c r="C989" t="s">
        <v>16</v>
      </c>
      <c r="D989" s="2">
        <v>0.45</v>
      </c>
      <c r="E989">
        <v>19422.900000000001</v>
      </c>
      <c r="F989" s="2">
        <v>0.4513888888888889</v>
      </c>
      <c r="G989">
        <v>19409.3</v>
      </c>
      <c r="H989">
        <v>19409.3</v>
      </c>
      <c r="I989">
        <v>19456.89</v>
      </c>
      <c r="J989" t="s">
        <v>15</v>
      </c>
      <c r="K989">
        <v>-13.6</v>
      </c>
      <c r="L989" s="9">
        <v>-1</v>
      </c>
      <c r="M989">
        <v>0</v>
      </c>
      <c r="N989">
        <v>4</v>
      </c>
    </row>
    <row r="990" spans="1:14" x14ac:dyDescent="0.2">
      <c r="A990" s="1">
        <v>45776</v>
      </c>
      <c r="B990">
        <v>2</v>
      </c>
      <c r="C990" t="s">
        <v>16</v>
      </c>
      <c r="D990" s="2">
        <v>0.41111111111111109</v>
      </c>
      <c r="E990">
        <v>19407.89</v>
      </c>
      <c r="F990" s="2">
        <v>0.41319444444444442</v>
      </c>
      <c r="G990">
        <v>19394.3</v>
      </c>
      <c r="H990">
        <v>19394.3</v>
      </c>
      <c r="I990">
        <v>19441.849999999999</v>
      </c>
      <c r="J990" t="s">
        <v>15</v>
      </c>
      <c r="K990">
        <v>-13.59</v>
      </c>
      <c r="L990" s="9">
        <v>-1</v>
      </c>
      <c r="M990">
        <v>0</v>
      </c>
      <c r="N990">
        <v>5</v>
      </c>
    </row>
    <row r="991" spans="1:14" x14ac:dyDescent="0.2">
      <c r="A991" s="1">
        <v>45776</v>
      </c>
      <c r="B991">
        <v>2</v>
      </c>
      <c r="C991" t="s">
        <v>16</v>
      </c>
      <c r="D991" s="2">
        <v>0.45694444444444443</v>
      </c>
      <c r="E991">
        <v>19485.62</v>
      </c>
      <c r="F991" s="2">
        <v>0.46111111111111114</v>
      </c>
      <c r="G991">
        <v>19471.98</v>
      </c>
      <c r="H991">
        <v>19471.98</v>
      </c>
      <c r="I991">
        <v>19519.72</v>
      </c>
      <c r="J991" t="s">
        <v>15</v>
      </c>
      <c r="K991">
        <v>-13.64</v>
      </c>
      <c r="L991" s="9">
        <v>-1</v>
      </c>
      <c r="M991">
        <v>0</v>
      </c>
      <c r="N991">
        <v>6</v>
      </c>
    </row>
    <row r="992" spans="1:14" x14ac:dyDescent="0.2">
      <c r="A992" s="1">
        <v>45777</v>
      </c>
      <c r="B992">
        <v>3</v>
      </c>
      <c r="C992" t="s">
        <v>13</v>
      </c>
      <c r="D992" s="2">
        <v>0.40555555555555556</v>
      </c>
      <c r="E992">
        <v>19068.080000000002</v>
      </c>
      <c r="F992" s="2">
        <v>0.40763888888888888</v>
      </c>
      <c r="G992">
        <v>19081.43</v>
      </c>
      <c r="H992">
        <v>19081.43</v>
      </c>
      <c r="I992">
        <v>19034.71</v>
      </c>
      <c r="J992" t="s">
        <v>15</v>
      </c>
      <c r="K992">
        <v>-13.35</v>
      </c>
      <c r="L992" s="9">
        <v>-1</v>
      </c>
      <c r="M992">
        <v>0</v>
      </c>
      <c r="N992">
        <v>7</v>
      </c>
    </row>
    <row r="993" spans="1:14" x14ac:dyDescent="0.2">
      <c r="A993" s="1">
        <v>45777</v>
      </c>
      <c r="B993">
        <v>3</v>
      </c>
      <c r="C993" t="s">
        <v>16</v>
      </c>
      <c r="D993" s="2">
        <v>0.43611111111111112</v>
      </c>
      <c r="E993">
        <v>19182.12</v>
      </c>
      <c r="F993" s="2">
        <v>0.4375</v>
      </c>
      <c r="G993">
        <v>19215.68</v>
      </c>
      <c r="H993">
        <v>19168.689999999999</v>
      </c>
      <c r="I993">
        <v>19215.68</v>
      </c>
      <c r="J993" t="s">
        <v>14</v>
      </c>
      <c r="K993">
        <v>33.57</v>
      </c>
      <c r="L993" s="9">
        <v>2.5</v>
      </c>
      <c r="M993">
        <v>1</v>
      </c>
      <c r="N993">
        <v>0</v>
      </c>
    </row>
    <row r="994" spans="1:14" x14ac:dyDescent="0.2">
      <c r="A994" s="1">
        <v>45782</v>
      </c>
      <c r="B994">
        <v>1</v>
      </c>
      <c r="C994" t="s">
        <v>16</v>
      </c>
      <c r="D994" s="2">
        <v>0.39791666666666664</v>
      </c>
      <c r="E994">
        <v>19920.87</v>
      </c>
      <c r="F994" s="2">
        <v>0.40069444444444446</v>
      </c>
      <c r="G994">
        <v>19955.73</v>
      </c>
      <c r="H994">
        <v>19906.93</v>
      </c>
      <c r="I994">
        <v>19955.73</v>
      </c>
      <c r="J994" t="s">
        <v>14</v>
      </c>
      <c r="K994">
        <v>34.86</v>
      </c>
      <c r="L994" s="9">
        <v>2.5</v>
      </c>
      <c r="M994">
        <v>1</v>
      </c>
      <c r="N994">
        <v>2</v>
      </c>
    </row>
    <row r="995" spans="1:14" x14ac:dyDescent="0.2">
      <c r="A995" s="1">
        <v>45782</v>
      </c>
      <c r="B995">
        <v>1</v>
      </c>
      <c r="C995" t="s">
        <v>13</v>
      </c>
      <c r="D995" s="2">
        <v>0.44166666666666665</v>
      </c>
      <c r="E995">
        <v>19940.16</v>
      </c>
      <c r="F995" s="2">
        <v>0.44236111111111109</v>
      </c>
      <c r="G995">
        <v>19954.12</v>
      </c>
      <c r="H995">
        <v>19954.12</v>
      </c>
      <c r="I995">
        <v>19905.259999999998</v>
      </c>
      <c r="J995" t="s">
        <v>15</v>
      </c>
      <c r="K995">
        <v>-13.96</v>
      </c>
      <c r="L995" s="9">
        <v>-1</v>
      </c>
      <c r="M995">
        <v>0</v>
      </c>
      <c r="N995">
        <v>0</v>
      </c>
    </row>
    <row r="996" spans="1:14" x14ac:dyDescent="0.2">
      <c r="A996" s="1">
        <v>45782</v>
      </c>
      <c r="B996">
        <v>1</v>
      </c>
      <c r="C996" t="s">
        <v>16</v>
      </c>
      <c r="D996" s="2">
        <v>0.45763888888888887</v>
      </c>
      <c r="E996">
        <v>20012.91</v>
      </c>
      <c r="F996" s="2">
        <v>0.46250000000000002</v>
      </c>
      <c r="G996">
        <v>19998.900000000001</v>
      </c>
      <c r="H996">
        <v>19998.900000000001</v>
      </c>
      <c r="I996">
        <v>20047.93</v>
      </c>
      <c r="J996" t="s">
        <v>15</v>
      </c>
      <c r="K996">
        <v>-14.01</v>
      </c>
      <c r="L996" s="9">
        <v>-1</v>
      </c>
      <c r="M996">
        <v>0</v>
      </c>
      <c r="N996">
        <v>2</v>
      </c>
    </row>
    <row r="997" spans="1:14" x14ac:dyDescent="0.2">
      <c r="A997" s="1">
        <v>45783</v>
      </c>
      <c r="B997">
        <v>2</v>
      </c>
      <c r="C997" t="s">
        <v>16</v>
      </c>
      <c r="D997" s="2">
        <v>0.40416666666666667</v>
      </c>
      <c r="E997">
        <v>19761.68</v>
      </c>
      <c r="F997" s="2">
        <v>0.40694444444444444</v>
      </c>
      <c r="G997">
        <v>19747.849999999999</v>
      </c>
      <c r="H997">
        <v>19747.849999999999</v>
      </c>
      <c r="I997">
        <v>19796.27</v>
      </c>
      <c r="J997" t="s">
        <v>15</v>
      </c>
      <c r="K997">
        <v>-13.83</v>
      </c>
      <c r="L997" s="9">
        <v>-1</v>
      </c>
      <c r="M997">
        <v>0</v>
      </c>
      <c r="N997">
        <v>3</v>
      </c>
    </row>
    <row r="998" spans="1:14" x14ac:dyDescent="0.2">
      <c r="A998" s="1">
        <v>45783</v>
      </c>
      <c r="B998">
        <v>2</v>
      </c>
      <c r="C998" t="s">
        <v>16</v>
      </c>
      <c r="D998" s="2">
        <v>0.43333333333333335</v>
      </c>
      <c r="E998">
        <v>19797</v>
      </c>
      <c r="F998" s="2">
        <v>0.44027777777777777</v>
      </c>
      <c r="G998">
        <v>19831.650000000001</v>
      </c>
      <c r="H998">
        <v>19783.14</v>
      </c>
      <c r="I998">
        <v>19831.650000000001</v>
      </c>
      <c r="J998" t="s">
        <v>14</v>
      </c>
      <c r="K998">
        <v>34.64</v>
      </c>
      <c r="L998" s="9">
        <v>2.5</v>
      </c>
      <c r="M998">
        <v>1</v>
      </c>
      <c r="N998">
        <v>0</v>
      </c>
    </row>
    <row r="999" spans="1:14" x14ac:dyDescent="0.2">
      <c r="A999" s="1">
        <v>45784</v>
      </c>
      <c r="B999">
        <v>3</v>
      </c>
      <c r="C999" t="s">
        <v>13</v>
      </c>
      <c r="D999" s="2">
        <v>0.40208333333333335</v>
      </c>
      <c r="E999">
        <v>19799.27</v>
      </c>
      <c r="F999" s="2">
        <v>0.40277777777777779</v>
      </c>
      <c r="G999">
        <v>19813.13</v>
      </c>
      <c r="H999">
        <v>19813.13</v>
      </c>
      <c r="I999">
        <v>19764.62</v>
      </c>
      <c r="J999" t="s">
        <v>15</v>
      </c>
      <c r="K999">
        <v>-13.86</v>
      </c>
      <c r="L999" s="9">
        <v>-1</v>
      </c>
      <c r="M999">
        <v>0</v>
      </c>
      <c r="N999">
        <v>0</v>
      </c>
    </row>
    <row r="1000" spans="1:14" x14ac:dyDescent="0.2">
      <c r="A1000" s="1">
        <v>45784</v>
      </c>
      <c r="B1000">
        <v>3</v>
      </c>
      <c r="C1000" t="s">
        <v>16</v>
      </c>
      <c r="D1000" s="2">
        <v>0.42499999999999999</v>
      </c>
      <c r="E1000">
        <v>19858.439999999999</v>
      </c>
      <c r="F1000" s="2">
        <v>0.43819444444444444</v>
      </c>
      <c r="G1000">
        <v>19893.189999999999</v>
      </c>
      <c r="H1000">
        <v>19844.53</v>
      </c>
      <c r="I1000">
        <v>19893.189999999999</v>
      </c>
      <c r="J1000" t="s">
        <v>14</v>
      </c>
      <c r="K1000">
        <v>34.75</v>
      </c>
      <c r="L1000" s="9">
        <v>2.5</v>
      </c>
      <c r="M1000">
        <v>1</v>
      </c>
      <c r="N1000">
        <v>0</v>
      </c>
    </row>
    <row r="1001" spans="1:14" x14ac:dyDescent="0.2">
      <c r="A1001" s="1">
        <v>45784</v>
      </c>
      <c r="B1001">
        <v>3</v>
      </c>
      <c r="C1001" t="s">
        <v>13</v>
      </c>
      <c r="D1001" s="2">
        <v>0.45694444444444443</v>
      </c>
      <c r="E1001">
        <v>19767.28</v>
      </c>
      <c r="F1001" s="2">
        <v>0.45902777777777776</v>
      </c>
      <c r="G1001">
        <v>19732.68</v>
      </c>
      <c r="H1001">
        <v>19781.11</v>
      </c>
      <c r="I1001">
        <v>19732.68</v>
      </c>
      <c r="J1001" t="s">
        <v>14</v>
      </c>
      <c r="K1001">
        <v>34.590000000000003</v>
      </c>
      <c r="L1001" s="9">
        <v>2.5</v>
      </c>
      <c r="M1001">
        <v>1</v>
      </c>
      <c r="N1001">
        <v>2</v>
      </c>
    </row>
    <row r="1002" spans="1:14" x14ac:dyDescent="0.2">
      <c r="A1002" s="1">
        <v>45785</v>
      </c>
      <c r="B1002">
        <v>4</v>
      </c>
      <c r="C1002" t="s">
        <v>13</v>
      </c>
      <c r="D1002" s="2">
        <v>0.4</v>
      </c>
      <c r="E1002">
        <v>20048.939999999999</v>
      </c>
      <c r="F1002" s="2">
        <v>0.40833333333333333</v>
      </c>
      <c r="G1002">
        <v>20013.849999999999</v>
      </c>
      <c r="H1002">
        <v>20062.97</v>
      </c>
      <c r="I1002">
        <v>20013.849999999999</v>
      </c>
      <c r="J1002" t="s">
        <v>14</v>
      </c>
      <c r="K1002">
        <v>35.090000000000003</v>
      </c>
      <c r="L1002" s="9">
        <v>2.5</v>
      </c>
      <c r="M1002">
        <v>1</v>
      </c>
      <c r="N1002">
        <v>3</v>
      </c>
    </row>
    <row r="1003" spans="1:14" x14ac:dyDescent="0.2">
      <c r="A1003" s="1">
        <v>45785</v>
      </c>
      <c r="B1003">
        <v>4</v>
      </c>
      <c r="C1003" t="s">
        <v>13</v>
      </c>
      <c r="D1003" s="2">
        <v>0.42638888888888887</v>
      </c>
      <c r="E1003">
        <v>19970.54</v>
      </c>
      <c r="F1003" s="2">
        <v>0.42916666666666664</v>
      </c>
      <c r="G1003">
        <v>19984.52</v>
      </c>
      <c r="H1003">
        <v>19984.52</v>
      </c>
      <c r="I1003">
        <v>19935.59</v>
      </c>
      <c r="J1003" t="s">
        <v>15</v>
      </c>
      <c r="K1003">
        <v>-13.98</v>
      </c>
      <c r="L1003" s="9">
        <v>-1</v>
      </c>
      <c r="M1003">
        <v>0</v>
      </c>
      <c r="N1003">
        <v>0</v>
      </c>
    </row>
    <row r="1004" spans="1:14" x14ac:dyDescent="0.2">
      <c r="A1004" s="1">
        <v>45785</v>
      </c>
      <c r="B1004">
        <v>4</v>
      </c>
      <c r="C1004" t="s">
        <v>13</v>
      </c>
      <c r="D1004" s="2">
        <v>0.4513888888888889</v>
      </c>
      <c r="E1004">
        <v>19970.8</v>
      </c>
      <c r="F1004" s="2">
        <v>0.45208333333333334</v>
      </c>
      <c r="G1004">
        <v>19984.78</v>
      </c>
      <c r="H1004">
        <v>19984.78</v>
      </c>
      <c r="I1004">
        <v>19935.849999999999</v>
      </c>
      <c r="J1004" t="s">
        <v>15</v>
      </c>
      <c r="K1004">
        <v>-13.98</v>
      </c>
      <c r="L1004" s="9">
        <v>-1</v>
      </c>
      <c r="M1004">
        <v>0</v>
      </c>
      <c r="N1004">
        <v>2</v>
      </c>
    </row>
    <row r="1005" spans="1:14" x14ac:dyDescent="0.2">
      <c r="A1005" s="1">
        <v>45786</v>
      </c>
      <c r="B1005">
        <v>5</v>
      </c>
      <c r="C1005" t="s">
        <v>13</v>
      </c>
      <c r="D1005" s="2">
        <v>0.4375</v>
      </c>
      <c r="E1005">
        <v>20067.11</v>
      </c>
      <c r="F1005" s="2">
        <v>0.44097222222222221</v>
      </c>
      <c r="G1005">
        <v>20031.990000000002</v>
      </c>
      <c r="H1005">
        <v>20081.150000000001</v>
      </c>
      <c r="I1005">
        <v>20031.990000000002</v>
      </c>
      <c r="J1005" t="s">
        <v>14</v>
      </c>
      <c r="K1005">
        <v>35.119999999999997</v>
      </c>
      <c r="L1005" s="9">
        <v>2.5</v>
      </c>
      <c r="M1005">
        <v>1</v>
      </c>
      <c r="N1005">
        <v>0</v>
      </c>
    </row>
    <row r="1006" spans="1:14" x14ac:dyDescent="0.2">
      <c r="A1006" s="1">
        <v>45789</v>
      </c>
      <c r="B1006">
        <v>1</v>
      </c>
      <c r="C1006" t="s">
        <v>13</v>
      </c>
      <c r="D1006" s="2">
        <v>0.40277777777777779</v>
      </c>
      <c r="E1006">
        <v>20713.13</v>
      </c>
      <c r="F1006" s="2">
        <v>0.40416666666666667</v>
      </c>
      <c r="G1006">
        <v>20676.88</v>
      </c>
      <c r="H1006">
        <v>20727.63</v>
      </c>
      <c r="I1006">
        <v>20676.88</v>
      </c>
      <c r="J1006" t="s">
        <v>14</v>
      </c>
      <c r="K1006">
        <v>36.25</v>
      </c>
      <c r="L1006" s="9">
        <v>2.5</v>
      </c>
      <c r="M1006">
        <v>1</v>
      </c>
      <c r="N1006">
        <v>2</v>
      </c>
    </row>
    <row r="1007" spans="1:14" x14ac:dyDescent="0.2">
      <c r="A1007" s="1">
        <v>45789</v>
      </c>
      <c r="B1007">
        <v>1</v>
      </c>
      <c r="C1007" t="s">
        <v>16</v>
      </c>
      <c r="D1007" s="2">
        <v>0.42916666666666664</v>
      </c>
      <c r="E1007">
        <v>20750.810000000001</v>
      </c>
      <c r="F1007" s="2">
        <v>0.42986111111111114</v>
      </c>
      <c r="G1007">
        <v>20736.29</v>
      </c>
      <c r="H1007">
        <v>20736.29</v>
      </c>
      <c r="I1007">
        <v>20787.13</v>
      </c>
      <c r="J1007" t="s">
        <v>15</v>
      </c>
      <c r="K1007">
        <v>-14.53</v>
      </c>
      <c r="L1007" s="9">
        <v>-1</v>
      </c>
      <c r="M1007">
        <v>0</v>
      </c>
      <c r="N1007">
        <v>0</v>
      </c>
    </row>
    <row r="1008" spans="1:14" x14ac:dyDescent="0.2">
      <c r="A1008" s="1">
        <v>45789</v>
      </c>
      <c r="B1008">
        <v>1</v>
      </c>
      <c r="C1008" t="s">
        <v>13</v>
      </c>
      <c r="D1008" s="2">
        <v>0.43958333333333333</v>
      </c>
      <c r="E1008">
        <v>20642.87</v>
      </c>
      <c r="F1008" s="2">
        <v>0.44374999999999998</v>
      </c>
      <c r="G1008">
        <v>20657.32</v>
      </c>
      <c r="H1008">
        <v>20657.32</v>
      </c>
      <c r="I1008">
        <v>20606.75</v>
      </c>
      <c r="J1008" t="s">
        <v>15</v>
      </c>
      <c r="K1008">
        <v>-14.45</v>
      </c>
      <c r="L1008" s="9">
        <v>-1</v>
      </c>
      <c r="M1008">
        <v>0</v>
      </c>
      <c r="N1008">
        <v>2</v>
      </c>
    </row>
    <row r="1009" spans="1:14" x14ac:dyDescent="0.2">
      <c r="A1009" s="1">
        <v>45790</v>
      </c>
      <c r="B1009">
        <v>2</v>
      </c>
      <c r="C1009" t="s">
        <v>16</v>
      </c>
      <c r="D1009" s="2">
        <v>0.40416666666666667</v>
      </c>
      <c r="E1009">
        <v>20982.41</v>
      </c>
      <c r="F1009" s="2">
        <v>0.40486111111111112</v>
      </c>
      <c r="G1009">
        <v>20967.72</v>
      </c>
      <c r="H1009">
        <v>20967.72</v>
      </c>
      <c r="I1009">
        <v>21019.13</v>
      </c>
      <c r="J1009" t="s">
        <v>15</v>
      </c>
      <c r="K1009">
        <v>-14.69</v>
      </c>
      <c r="L1009" s="9">
        <v>-1</v>
      </c>
      <c r="M1009">
        <v>0</v>
      </c>
      <c r="N1009">
        <v>3</v>
      </c>
    </row>
    <row r="1010" spans="1:14" x14ac:dyDescent="0.2">
      <c r="A1010" s="1">
        <v>45790</v>
      </c>
      <c r="B1010">
        <v>2</v>
      </c>
      <c r="C1010" t="s">
        <v>16</v>
      </c>
      <c r="D1010" s="2">
        <v>0.45694444444444443</v>
      </c>
      <c r="E1010">
        <v>21161.67</v>
      </c>
      <c r="F1010" s="2">
        <v>0.47638888888888886</v>
      </c>
      <c r="G1010">
        <v>21198.7</v>
      </c>
      <c r="H1010">
        <v>21146.85</v>
      </c>
      <c r="I1010">
        <v>21198.7</v>
      </c>
      <c r="J1010" t="s">
        <v>14</v>
      </c>
      <c r="K1010">
        <v>37.03</v>
      </c>
      <c r="L1010" s="9">
        <v>2.5</v>
      </c>
      <c r="M1010">
        <v>1</v>
      </c>
      <c r="N1010">
        <v>0</v>
      </c>
    </row>
    <row r="1011" spans="1:14" x14ac:dyDescent="0.2">
      <c r="A1011" s="1">
        <v>45791</v>
      </c>
      <c r="B1011">
        <v>3</v>
      </c>
      <c r="C1011" t="s">
        <v>16</v>
      </c>
      <c r="D1011" s="2">
        <v>0.40138888888888891</v>
      </c>
      <c r="E1011">
        <v>21302.54</v>
      </c>
      <c r="F1011" s="2">
        <v>0.40277777777777779</v>
      </c>
      <c r="G1011">
        <v>21287.63</v>
      </c>
      <c r="H1011">
        <v>21287.63</v>
      </c>
      <c r="I1011">
        <v>21339.82</v>
      </c>
      <c r="J1011" t="s">
        <v>15</v>
      </c>
      <c r="K1011">
        <v>-14.91</v>
      </c>
      <c r="L1011" s="9">
        <v>-1</v>
      </c>
      <c r="M1011">
        <v>0</v>
      </c>
      <c r="N1011">
        <v>0</v>
      </c>
    </row>
    <row r="1012" spans="1:14" x14ac:dyDescent="0.2">
      <c r="A1012" s="1">
        <v>45791</v>
      </c>
      <c r="B1012">
        <v>3</v>
      </c>
      <c r="C1012" t="s">
        <v>13</v>
      </c>
      <c r="D1012" s="2">
        <v>0.4152777777777778</v>
      </c>
      <c r="E1012">
        <v>21216</v>
      </c>
      <c r="F1012" s="2">
        <v>0.41597222222222224</v>
      </c>
      <c r="G1012">
        <v>21230.86</v>
      </c>
      <c r="H1012">
        <v>21230.86</v>
      </c>
      <c r="I1012">
        <v>21178.880000000001</v>
      </c>
      <c r="J1012" t="s">
        <v>15</v>
      </c>
      <c r="K1012">
        <v>-14.85</v>
      </c>
      <c r="L1012" s="9">
        <v>-1</v>
      </c>
      <c r="M1012">
        <v>0</v>
      </c>
      <c r="N1012">
        <v>2</v>
      </c>
    </row>
    <row r="1013" spans="1:14" x14ac:dyDescent="0.2">
      <c r="A1013" s="1">
        <v>45791</v>
      </c>
      <c r="B1013">
        <v>3</v>
      </c>
      <c r="C1013" t="s">
        <v>16</v>
      </c>
      <c r="D1013" s="2">
        <v>0.4375</v>
      </c>
      <c r="E1013">
        <v>21262.27</v>
      </c>
      <c r="F1013" s="2">
        <v>0.44027777777777777</v>
      </c>
      <c r="G1013">
        <v>21247.39</v>
      </c>
      <c r="H1013">
        <v>21247.39</v>
      </c>
      <c r="I1013">
        <v>21299.48</v>
      </c>
      <c r="J1013" t="s">
        <v>15</v>
      </c>
      <c r="K1013">
        <v>-14.88</v>
      </c>
      <c r="L1013" s="9">
        <v>-1</v>
      </c>
      <c r="M1013">
        <v>0</v>
      </c>
      <c r="N1013">
        <v>3</v>
      </c>
    </row>
    <row r="1014" spans="1:14" x14ac:dyDescent="0.2">
      <c r="A1014" s="1">
        <v>45792</v>
      </c>
      <c r="B1014">
        <v>4</v>
      </c>
      <c r="C1014" t="s">
        <v>16</v>
      </c>
      <c r="D1014" s="2">
        <v>0.42222222222222222</v>
      </c>
      <c r="E1014">
        <v>21238.799999999999</v>
      </c>
      <c r="F1014" s="2">
        <v>0.42291666666666666</v>
      </c>
      <c r="G1014">
        <v>21223.93</v>
      </c>
      <c r="H1014">
        <v>21223.93</v>
      </c>
      <c r="I1014">
        <v>21275.97</v>
      </c>
      <c r="J1014" t="s">
        <v>15</v>
      </c>
      <c r="K1014">
        <v>-14.87</v>
      </c>
      <c r="L1014" s="9">
        <v>-1</v>
      </c>
      <c r="M1014">
        <v>0</v>
      </c>
      <c r="N1014">
        <v>4</v>
      </c>
    </row>
    <row r="1015" spans="1:14" x14ac:dyDescent="0.2">
      <c r="A1015" s="1">
        <v>45792</v>
      </c>
      <c r="B1015">
        <v>4</v>
      </c>
      <c r="C1015" t="s">
        <v>13</v>
      </c>
      <c r="D1015" s="2">
        <v>0.44236111111111109</v>
      </c>
      <c r="E1015">
        <v>21187.17</v>
      </c>
      <c r="F1015" s="2">
        <v>0.44444444444444442</v>
      </c>
      <c r="G1015">
        <v>21202</v>
      </c>
      <c r="H1015">
        <v>21202</v>
      </c>
      <c r="I1015">
        <v>21150.09</v>
      </c>
      <c r="J1015" t="s">
        <v>15</v>
      </c>
      <c r="K1015">
        <v>-14.83</v>
      </c>
      <c r="L1015" s="9">
        <v>-1</v>
      </c>
      <c r="M1015">
        <v>0</v>
      </c>
      <c r="N1015">
        <v>5</v>
      </c>
    </row>
    <row r="1016" spans="1:14" x14ac:dyDescent="0.2">
      <c r="A1016" s="1">
        <v>45793</v>
      </c>
      <c r="B1016">
        <v>5</v>
      </c>
      <c r="C1016" t="s">
        <v>13</v>
      </c>
      <c r="D1016" s="2">
        <v>0.40138888888888891</v>
      </c>
      <c r="E1016">
        <v>21338.94</v>
      </c>
      <c r="F1016" s="2">
        <v>0.40208333333333335</v>
      </c>
      <c r="G1016">
        <v>21353.88</v>
      </c>
      <c r="H1016">
        <v>21353.88</v>
      </c>
      <c r="I1016">
        <v>21301.599999999999</v>
      </c>
      <c r="J1016" t="s">
        <v>15</v>
      </c>
      <c r="K1016">
        <v>-14.94</v>
      </c>
      <c r="L1016" s="9">
        <v>-1</v>
      </c>
      <c r="M1016">
        <v>0</v>
      </c>
      <c r="N1016">
        <v>6</v>
      </c>
    </row>
    <row r="1017" spans="1:14" x14ac:dyDescent="0.2">
      <c r="A1017" s="1">
        <v>45793</v>
      </c>
      <c r="B1017">
        <v>5</v>
      </c>
      <c r="C1017" t="s">
        <v>13</v>
      </c>
      <c r="D1017" s="2">
        <v>0.44305555555555554</v>
      </c>
      <c r="E1017">
        <v>21306.15</v>
      </c>
      <c r="F1017" s="2">
        <v>0.4465277777777778</v>
      </c>
      <c r="G1017">
        <v>21268.87</v>
      </c>
      <c r="H1017">
        <v>21321.07</v>
      </c>
      <c r="I1017">
        <v>21268.87</v>
      </c>
      <c r="J1017" t="s">
        <v>14</v>
      </c>
      <c r="K1017">
        <v>37.29</v>
      </c>
      <c r="L1017" s="9">
        <v>2.5</v>
      </c>
      <c r="M1017">
        <v>1</v>
      </c>
      <c r="N1017">
        <v>0</v>
      </c>
    </row>
    <row r="1018" spans="1:14" x14ac:dyDescent="0.2">
      <c r="A1018" s="1">
        <v>45796</v>
      </c>
      <c r="B1018">
        <v>1</v>
      </c>
      <c r="C1018" t="s">
        <v>16</v>
      </c>
      <c r="D1018" s="2">
        <v>0.4</v>
      </c>
      <c r="E1018">
        <v>21172.06</v>
      </c>
      <c r="F1018" s="2">
        <v>0.40069444444444446</v>
      </c>
      <c r="G1018">
        <v>21209.11</v>
      </c>
      <c r="H1018">
        <v>21157.24</v>
      </c>
      <c r="I1018">
        <v>21209.11</v>
      </c>
      <c r="J1018" t="s">
        <v>14</v>
      </c>
      <c r="K1018">
        <v>37.049999999999997</v>
      </c>
      <c r="L1018" s="9">
        <v>2.5</v>
      </c>
      <c r="M1018">
        <v>1</v>
      </c>
      <c r="N1018">
        <v>2</v>
      </c>
    </row>
    <row r="1019" spans="1:14" x14ac:dyDescent="0.2">
      <c r="A1019" s="1">
        <v>45796</v>
      </c>
      <c r="B1019">
        <v>1</v>
      </c>
      <c r="C1019" t="s">
        <v>13</v>
      </c>
      <c r="D1019" s="2">
        <v>0.45694444444444443</v>
      </c>
      <c r="E1019">
        <v>21318.32</v>
      </c>
      <c r="F1019" s="2">
        <v>0.4597222222222222</v>
      </c>
      <c r="G1019">
        <v>21333.24</v>
      </c>
      <c r="H1019">
        <v>21333.24</v>
      </c>
      <c r="I1019">
        <v>21281.01</v>
      </c>
      <c r="J1019" t="s">
        <v>15</v>
      </c>
      <c r="K1019">
        <v>-14.92</v>
      </c>
      <c r="L1019" s="9">
        <v>-1</v>
      </c>
      <c r="M1019">
        <v>0</v>
      </c>
      <c r="N1019">
        <v>0</v>
      </c>
    </row>
    <row r="1020" spans="1:14" x14ac:dyDescent="0.2">
      <c r="A1020" s="1">
        <v>45797</v>
      </c>
      <c r="B1020">
        <v>2</v>
      </c>
      <c r="C1020" t="s">
        <v>13</v>
      </c>
      <c r="D1020" s="2">
        <v>0.41041666666666665</v>
      </c>
      <c r="E1020">
        <v>21304.7</v>
      </c>
      <c r="F1020" s="2">
        <v>0.41111111111111109</v>
      </c>
      <c r="G1020">
        <v>21319.61</v>
      </c>
      <c r="H1020">
        <v>21319.61</v>
      </c>
      <c r="I1020">
        <v>21267.42</v>
      </c>
      <c r="J1020" t="s">
        <v>15</v>
      </c>
      <c r="K1020">
        <v>-14.91</v>
      </c>
      <c r="L1020" s="9">
        <v>-1</v>
      </c>
      <c r="M1020">
        <v>0</v>
      </c>
      <c r="N1020">
        <v>2</v>
      </c>
    </row>
    <row r="1021" spans="1:14" x14ac:dyDescent="0.2">
      <c r="A1021" s="1">
        <v>45797</v>
      </c>
      <c r="B1021">
        <v>2</v>
      </c>
      <c r="C1021" t="s">
        <v>16</v>
      </c>
      <c r="D1021" s="2">
        <v>0.4465277777777778</v>
      </c>
      <c r="E1021">
        <v>21359.73</v>
      </c>
      <c r="F1021" s="2">
        <v>0.45624999999999999</v>
      </c>
      <c r="G1021">
        <v>21344.77</v>
      </c>
      <c r="H1021">
        <v>21344.77</v>
      </c>
      <c r="I1021">
        <v>21397.1</v>
      </c>
      <c r="J1021" t="s">
        <v>15</v>
      </c>
      <c r="K1021">
        <v>-14.95</v>
      </c>
      <c r="L1021" s="9">
        <v>-1</v>
      </c>
      <c r="M1021">
        <v>0</v>
      </c>
      <c r="N1021">
        <v>3</v>
      </c>
    </row>
    <row r="1022" spans="1:14" x14ac:dyDescent="0.2">
      <c r="A1022" s="1">
        <v>45798</v>
      </c>
      <c r="B1022">
        <v>3</v>
      </c>
      <c r="C1022" t="s">
        <v>16</v>
      </c>
      <c r="D1022" s="2">
        <v>0.40277777777777779</v>
      </c>
      <c r="E1022">
        <v>21258.85</v>
      </c>
      <c r="F1022" s="2">
        <v>0.40555555555555556</v>
      </c>
      <c r="G1022">
        <v>21296.05</v>
      </c>
      <c r="H1022">
        <v>21243.96</v>
      </c>
      <c r="I1022">
        <v>21296.05</v>
      </c>
      <c r="J1022" t="s">
        <v>14</v>
      </c>
      <c r="K1022">
        <v>37.200000000000003</v>
      </c>
      <c r="L1022" s="9">
        <v>2.5</v>
      </c>
      <c r="M1022">
        <v>1</v>
      </c>
      <c r="N1022">
        <v>0</v>
      </c>
    </row>
    <row r="1023" spans="1:14" x14ac:dyDescent="0.2">
      <c r="A1023" s="1">
        <v>45799</v>
      </c>
      <c r="B1023">
        <v>4</v>
      </c>
      <c r="C1023" t="s">
        <v>16</v>
      </c>
      <c r="D1023" s="2">
        <v>0.41875000000000001</v>
      </c>
      <c r="E1023">
        <v>21220.52</v>
      </c>
      <c r="F1023" s="2">
        <v>0.42152777777777778</v>
      </c>
      <c r="G1023">
        <v>21257.66</v>
      </c>
      <c r="H1023">
        <v>21205.67</v>
      </c>
      <c r="I1023">
        <v>21257.66</v>
      </c>
      <c r="J1023" t="s">
        <v>14</v>
      </c>
      <c r="K1023">
        <v>37.14</v>
      </c>
      <c r="L1023" s="9">
        <v>2.5</v>
      </c>
      <c r="M1023">
        <v>1</v>
      </c>
      <c r="N1023">
        <v>2</v>
      </c>
    </row>
    <row r="1024" spans="1:14" x14ac:dyDescent="0.2">
      <c r="A1024" s="1">
        <v>45799</v>
      </c>
      <c r="B1024">
        <v>4</v>
      </c>
      <c r="C1024" t="s">
        <v>13</v>
      </c>
      <c r="D1024" s="2">
        <v>0.45694444444444443</v>
      </c>
      <c r="E1024">
        <v>21119.59</v>
      </c>
      <c r="F1024" s="2">
        <v>0.45763888888888887</v>
      </c>
      <c r="G1024">
        <v>21134.37</v>
      </c>
      <c r="H1024">
        <v>21134.37</v>
      </c>
      <c r="I1024">
        <v>21082.63</v>
      </c>
      <c r="J1024" t="s">
        <v>15</v>
      </c>
      <c r="K1024">
        <v>-14.78</v>
      </c>
      <c r="L1024" s="9">
        <v>-1</v>
      </c>
      <c r="M1024">
        <v>0</v>
      </c>
      <c r="N1024">
        <v>0</v>
      </c>
    </row>
    <row r="1025" spans="1:14" x14ac:dyDescent="0.2">
      <c r="A1025" s="1">
        <v>45803</v>
      </c>
      <c r="B1025">
        <v>1</v>
      </c>
      <c r="C1025" t="s">
        <v>16</v>
      </c>
      <c r="D1025" s="2">
        <v>0.40277777777777779</v>
      </c>
      <c r="E1025">
        <v>21239.279999999999</v>
      </c>
      <c r="F1025" s="2">
        <v>0.41249999999999998</v>
      </c>
      <c r="G1025">
        <v>21224.41</v>
      </c>
      <c r="H1025">
        <v>21224.41</v>
      </c>
      <c r="I1025">
        <v>21276.45</v>
      </c>
      <c r="J1025" t="s">
        <v>15</v>
      </c>
      <c r="K1025">
        <v>-14.87</v>
      </c>
      <c r="L1025" s="9">
        <v>-1</v>
      </c>
      <c r="M1025">
        <v>0</v>
      </c>
      <c r="N1025">
        <v>2</v>
      </c>
    </row>
    <row r="1026" spans="1:14" x14ac:dyDescent="0.2">
      <c r="A1026" s="1">
        <v>45803</v>
      </c>
      <c r="B1026">
        <v>1</v>
      </c>
      <c r="C1026" t="s">
        <v>13</v>
      </c>
      <c r="D1026" s="2">
        <v>0.42222222222222222</v>
      </c>
      <c r="E1026">
        <v>21211.88</v>
      </c>
      <c r="F1026" s="2">
        <v>0.45555555555555555</v>
      </c>
      <c r="G1026">
        <v>21174.75</v>
      </c>
      <c r="H1026">
        <v>21226.720000000001</v>
      </c>
      <c r="I1026">
        <v>21174.75</v>
      </c>
      <c r="J1026" t="s">
        <v>14</v>
      </c>
      <c r="K1026">
        <v>37.119999999999997</v>
      </c>
      <c r="L1026" s="9">
        <v>2.5</v>
      </c>
      <c r="M1026">
        <v>1</v>
      </c>
      <c r="N1026">
        <v>0</v>
      </c>
    </row>
    <row r="1027" spans="1:14" x14ac:dyDescent="0.2">
      <c r="A1027" s="1">
        <v>45804</v>
      </c>
      <c r="B1027">
        <v>2</v>
      </c>
      <c r="C1027" t="s">
        <v>13</v>
      </c>
      <c r="D1027" s="2">
        <v>0.40138888888888891</v>
      </c>
      <c r="E1027">
        <v>21164.82</v>
      </c>
      <c r="F1027" s="2">
        <v>0.40277777777777779</v>
      </c>
      <c r="G1027">
        <v>21179.64</v>
      </c>
      <c r="H1027">
        <v>21179.64</v>
      </c>
      <c r="I1027">
        <v>21127.79</v>
      </c>
      <c r="J1027" t="s">
        <v>15</v>
      </c>
      <c r="K1027">
        <v>-14.82</v>
      </c>
      <c r="L1027" s="9">
        <v>-1</v>
      </c>
      <c r="M1027">
        <v>0</v>
      </c>
      <c r="N1027">
        <v>0</v>
      </c>
    </row>
    <row r="1028" spans="1:14" x14ac:dyDescent="0.2">
      <c r="A1028" s="1">
        <v>45804</v>
      </c>
      <c r="B1028">
        <v>2</v>
      </c>
      <c r="C1028" t="s">
        <v>16</v>
      </c>
      <c r="D1028" s="2">
        <v>0.41666666666666669</v>
      </c>
      <c r="E1028">
        <v>21238.87</v>
      </c>
      <c r="F1028" s="2">
        <v>0.41805555555555557</v>
      </c>
      <c r="G1028">
        <v>21276.03</v>
      </c>
      <c r="H1028">
        <v>21224</v>
      </c>
      <c r="I1028">
        <v>21276.03</v>
      </c>
      <c r="J1028" t="s">
        <v>14</v>
      </c>
      <c r="K1028">
        <v>37.17</v>
      </c>
      <c r="L1028" s="9">
        <v>2.5</v>
      </c>
      <c r="M1028">
        <v>1</v>
      </c>
      <c r="N1028">
        <v>0</v>
      </c>
    </row>
    <row r="1029" spans="1:14" x14ac:dyDescent="0.2">
      <c r="A1029" s="1">
        <v>45805</v>
      </c>
      <c r="B1029">
        <v>3</v>
      </c>
      <c r="C1029" t="s">
        <v>16</v>
      </c>
      <c r="D1029" s="2">
        <v>0.40486111111111112</v>
      </c>
      <c r="E1029">
        <v>21491.16</v>
      </c>
      <c r="F1029" s="2">
        <v>0.40625</v>
      </c>
      <c r="G1029">
        <v>21476.12</v>
      </c>
      <c r="H1029">
        <v>21476.12</v>
      </c>
      <c r="I1029">
        <v>21528.77</v>
      </c>
      <c r="J1029" t="s">
        <v>15</v>
      </c>
      <c r="K1029">
        <v>-15.04</v>
      </c>
      <c r="L1029" s="9">
        <v>-1</v>
      </c>
      <c r="M1029">
        <v>0</v>
      </c>
      <c r="N1029">
        <v>0</v>
      </c>
    </row>
    <row r="1030" spans="1:14" x14ac:dyDescent="0.2">
      <c r="A1030" s="1">
        <v>45805</v>
      </c>
      <c r="B1030">
        <v>3</v>
      </c>
      <c r="C1030" t="s">
        <v>13</v>
      </c>
      <c r="D1030" s="2">
        <v>0.4152777777777778</v>
      </c>
      <c r="E1030">
        <v>21424.29</v>
      </c>
      <c r="F1030" s="2">
        <v>0.43194444444444446</v>
      </c>
      <c r="G1030">
        <v>21386.799999999999</v>
      </c>
      <c r="H1030">
        <v>21439.29</v>
      </c>
      <c r="I1030">
        <v>21386.799999999999</v>
      </c>
      <c r="J1030" t="s">
        <v>14</v>
      </c>
      <c r="K1030">
        <v>37.49</v>
      </c>
      <c r="L1030" s="9">
        <v>2.5</v>
      </c>
      <c r="M1030">
        <v>1</v>
      </c>
      <c r="N1030">
        <v>0</v>
      </c>
    </row>
    <row r="1031" spans="1:14" x14ac:dyDescent="0.2">
      <c r="A1031" s="1">
        <v>45806</v>
      </c>
      <c r="B1031">
        <v>4</v>
      </c>
      <c r="C1031" t="s">
        <v>13</v>
      </c>
      <c r="D1031" s="2">
        <v>0.40347222222222223</v>
      </c>
      <c r="E1031">
        <v>21518.34</v>
      </c>
      <c r="F1031" s="2">
        <v>0.40555555555555556</v>
      </c>
      <c r="G1031">
        <v>21480.68</v>
      </c>
      <c r="H1031">
        <v>21533.4</v>
      </c>
      <c r="I1031">
        <v>21480.68</v>
      </c>
      <c r="J1031" t="s">
        <v>14</v>
      </c>
      <c r="K1031">
        <v>37.659999999999997</v>
      </c>
      <c r="L1031" s="9">
        <v>2.5</v>
      </c>
      <c r="M1031">
        <v>1</v>
      </c>
      <c r="N1031">
        <v>2</v>
      </c>
    </row>
    <row r="1032" spans="1:14" x14ac:dyDescent="0.2">
      <c r="A1032" s="1">
        <v>45806</v>
      </c>
      <c r="B1032">
        <v>4</v>
      </c>
      <c r="C1032" t="s">
        <v>16</v>
      </c>
      <c r="D1032" s="2">
        <v>0.4513888888888889</v>
      </c>
      <c r="E1032">
        <v>21418.58</v>
      </c>
      <c r="F1032" s="2">
        <v>0.45555555555555555</v>
      </c>
      <c r="G1032">
        <v>21456.06</v>
      </c>
      <c r="H1032">
        <v>21403.59</v>
      </c>
      <c r="I1032">
        <v>21456.06</v>
      </c>
      <c r="J1032" t="s">
        <v>14</v>
      </c>
      <c r="K1032">
        <v>37.479999999999997</v>
      </c>
      <c r="L1032" s="9">
        <v>2.5</v>
      </c>
      <c r="M1032">
        <v>1</v>
      </c>
      <c r="N1032">
        <v>3</v>
      </c>
    </row>
    <row r="1033" spans="1:14" x14ac:dyDescent="0.2">
      <c r="A1033" s="1">
        <v>45807</v>
      </c>
      <c r="B1033">
        <v>5</v>
      </c>
      <c r="C1033" t="s">
        <v>13</v>
      </c>
      <c r="D1033" s="2">
        <v>0.41249999999999998</v>
      </c>
      <c r="E1033">
        <v>21219.31</v>
      </c>
      <c r="F1033" s="2">
        <v>0.41666666666666669</v>
      </c>
      <c r="G1033">
        <v>21234.16</v>
      </c>
      <c r="H1033">
        <v>21234.16</v>
      </c>
      <c r="I1033">
        <v>21182.18</v>
      </c>
      <c r="J1033" t="s">
        <v>15</v>
      </c>
      <c r="K1033">
        <v>-14.85</v>
      </c>
      <c r="L1033" s="9">
        <v>-1</v>
      </c>
      <c r="M1033">
        <v>0</v>
      </c>
      <c r="N1033">
        <v>0</v>
      </c>
    </row>
    <row r="1034" spans="1:14" x14ac:dyDescent="0.2">
      <c r="A1034" s="1">
        <v>45807</v>
      </c>
      <c r="B1034">
        <v>5</v>
      </c>
      <c r="C1034" t="s">
        <v>16</v>
      </c>
      <c r="D1034" s="2">
        <v>0.42708333333333331</v>
      </c>
      <c r="E1034">
        <v>21315.759999999998</v>
      </c>
      <c r="F1034" s="2">
        <v>0.45763888888888887</v>
      </c>
      <c r="G1034">
        <v>21300.84</v>
      </c>
      <c r="H1034">
        <v>21300.84</v>
      </c>
      <c r="I1034">
        <v>21353.06</v>
      </c>
      <c r="J1034" t="s">
        <v>15</v>
      </c>
      <c r="K1034">
        <v>-14.92</v>
      </c>
      <c r="L1034" s="9">
        <v>-1</v>
      </c>
      <c r="M1034">
        <v>0</v>
      </c>
      <c r="N1034">
        <v>2</v>
      </c>
    </row>
    <row r="1035" spans="1:14" x14ac:dyDescent="0.2">
      <c r="A1035" s="1">
        <v>45811</v>
      </c>
      <c r="B1035">
        <v>2</v>
      </c>
      <c r="C1035" t="s">
        <v>16</v>
      </c>
      <c r="D1035" s="2">
        <v>0.40972222222222221</v>
      </c>
      <c r="E1035">
        <v>21535.64</v>
      </c>
      <c r="F1035" s="2">
        <v>0.41041666666666665</v>
      </c>
      <c r="G1035">
        <v>21520.57</v>
      </c>
      <c r="H1035">
        <v>21520.57</v>
      </c>
      <c r="I1035">
        <v>21573.33</v>
      </c>
      <c r="J1035" t="s">
        <v>15</v>
      </c>
      <c r="K1035">
        <v>-15.07</v>
      </c>
      <c r="L1035" s="9">
        <v>-1</v>
      </c>
      <c r="M1035">
        <v>0</v>
      </c>
      <c r="N1035">
        <v>3</v>
      </c>
    </row>
    <row r="1036" spans="1:14" x14ac:dyDescent="0.2">
      <c r="A1036" s="1">
        <v>45811</v>
      </c>
      <c r="B1036">
        <v>2</v>
      </c>
      <c r="C1036" t="s">
        <v>16</v>
      </c>
      <c r="D1036" s="2">
        <v>0.4375</v>
      </c>
      <c r="E1036">
        <v>21575.8</v>
      </c>
      <c r="F1036" s="2">
        <v>0.43819444444444444</v>
      </c>
      <c r="G1036">
        <v>21560.7</v>
      </c>
      <c r="H1036">
        <v>21560.7</v>
      </c>
      <c r="I1036">
        <v>21613.56</v>
      </c>
      <c r="J1036" t="s">
        <v>15</v>
      </c>
      <c r="K1036">
        <v>-15.1</v>
      </c>
      <c r="L1036" s="9">
        <v>-1</v>
      </c>
      <c r="M1036">
        <v>0</v>
      </c>
      <c r="N1036">
        <v>4</v>
      </c>
    </row>
    <row r="1037" spans="1:14" x14ac:dyDescent="0.2">
      <c r="A1037" s="1">
        <v>45811</v>
      </c>
      <c r="B1037">
        <v>2</v>
      </c>
      <c r="C1037" t="s">
        <v>16</v>
      </c>
      <c r="D1037" s="2">
        <v>0.45208333333333334</v>
      </c>
      <c r="E1037">
        <v>21589</v>
      </c>
      <c r="F1037" s="2">
        <v>0.45833333333333331</v>
      </c>
      <c r="G1037">
        <v>21626.78</v>
      </c>
      <c r="H1037">
        <v>21573.89</v>
      </c>
      <c r="I1037">
        <v>21626.78</v>
      </c>
      <c r="J1037" t="s">
        <v>14</v>
      </c>
      <c r="K1037">
        <v>37.78</v>
      </c>
      <c r="L1037" s="9">
        <v>2.5</v>
      </c>
      <c r="M1037">
        <v>1</v>
      </c>
      <c r="N1037">
        <v>0</v>
      </c>
    </row>
    <row r="1038" spans="1:14" x14ac:dyDescent="0.2">
      <c r="A1038" s="1">
        <v>45813</v>
      </c>
      <c r="B1038">
        <v>4</v>
      </c>
      <c r="C1038" t="s">
        <v>13</v>
      </c>
      <c r="D1038" s="2">
        <v>0.40277777777777779</v>
      </c>
      <c r="E1038">
        <v>21734.13</v>
      </c>
      <c r="F1038" s="2">
        <v>0.40347222222222223</v>
      </c>
      <c r="G1038">
        <v>21749.35</v>
      </c>
      <c r="H1038">
        <v>21749.35</v>
      </c>
      <c r="I1038">
        <v>21696.1</v>
      </c>
      <c r="J1038" t="s">
        <v>15</v>
      </c>
      <c r="K1038">
        <v>-15.21</v>
      </c>
      <c r="L1038" s="9">
        <v>-1</v>
      </c>
      <c r="M1038">
        <v>0</v>
      </c>
      <c r="N1038">
        <v>0</v>
      </c>
    </row>
    <row r="1039" spans="1:14" x14ac:dyDescent="0.2">
      <c r="A1039" s="1">
        <v>45813</v>
      </c>
      <c r="B1039">
        <v>4</v>
      </c>
      <c r="C1039" t="s">
        <v>13</v>
      </c>
      <c r="D1039" s="2">
        <v>0.42986111111111114</v>
      </c>
      <c r="E1039">
        <v>21684.05</v>
      </c>
      <c r="F1039" s="2">
        <v>0.43055555555555558</v>
      </c>
      <c r="G1039">
        <v>21699.23</v>
      </c>
      <c r="H1039">
        <v>21699.23</v>
      </c>
      <c r="I1039">
        <v>21646.1</v>
      </c>
      <c r="J1039" t="s">
        <v>15</v>
      </c>
      <c r="K1039">
        <v>-15.18</v>
      </c>
      <c r="L1039" s="9">
        <v>-1</v>
      </c>
      <c r="M1039">
        <v>0</v>
      </c>
      <c r="N1039">
        <v>2</v>
      </c>
    </row>
    <row r="1040" spans="1:14" x14ac:dyDescent="0.2">
      <c r="A1040" s="1">
        <v>45813</v>
      </c>
      <c r="B1040">
        <v>4</v>
      </c>
      <c r="C1040" t="s">
        <v>16</v>
      </c>
      <c r="D1040" s="2">
        <v>0.4375</v>
      </c>
      <c r="E1040">
        <v>21753.74</v>
      </c>
      <c r="F1040" s="2">
        <v>0.43819444444444444</v>
      </c>
      <c r="G1040">
        <v>21738.51</v>
      </c>
      <c r="H1040">
        <v>21738.51</v>
      </c>
      <c r="I1040">
        <v>21791.81</v>
      </c>
      <c r="J1040" t="s">
        <v>15</v>
      </c>
      <c r="K1040">
        <v>-15.23</v>
      </c>
      <c r="L1040" s="9">
        <v>-1</v>
      </c>
      <c r="M1040">
        <v>0</v>
      </c>
      <c r="N1040">
        <v>3</v>
      </c>
    </row>
    <row r="1041" spans="1:14" x14ac:dyDescent="0.2">
      <c r="A1041" s="1">
        <v>45814</v>
      </c>
      <c r="B1041">
        <v>5</v>
      </c>
      <c r="C1041" t="s">
        <v>16</v>
      </c>
      <c r="D1041" s="2">
        <v>0.40763888888888888</v>
      </c>
      <c r="E1041">
        <v>21811.69</v>
      </c>
      <c r="F1041" s="2">
        <v>0.41319444444444442</v>
      </c>
      <c r="G1041">
        <v>21796.42</v>
      </c>
      <c r="H1041">
        <v>21796.42</v>
      </c>
      <c r="I1041">
        <v>21849.86</v>
      </c>
      <c r="J1041" t="s">
        <v>15</v>
      </c>
      <c r="K1041">
        <v>-15.27</v>
      </c>
      <c r="L1041" s="9">
        <v>-1</v>
      </c>
      <c r="M1041">
        <v>0</v>
      </c>
      <c r="N1041">
        <v>4</v>
      </c>
    </row>
    <row r="1042" spans="1:14" x14ac:dyDescent="0.2">
      <c r="A1042" s="1">
        <v>45814</v>
      </c>
      <c r="B1042">
        <v>5</v>
      </c>
      <c r="C1042" t="s">
        <v>13</v>
      </c>
      <c r="D1042" s="2">
        <v>0.43958333333333333</v>
      </c>
      <c r="E1042">
        <v>21756.3</v>
      </c>
      <c r="F1042" s="2">
        <v>0.44097222222222221</v>
      </c>
      <c r="G1042">
        <v>21771.53</v>
      </c>
      <c r="H1042">
        <v>21771.53</v>
      </c>
      <c r="I1042">
        <v>21718.22</v>
      </c>
      <c r="J1042" t="s">
        <v>15</v>
      </c>
      <c r="K1042">
        <v>-15.23</v>
      </c>
      <c r="L1042" s="9">
        <v>-1</v>
      </c>
      <c r="M1042">
        <v>0</v>
      </c>
      <c r="N1042">
        <v>5</v>
      </c>
    </row>
    <row r="1043" spans="1:14" x14ac:dyDescent="0.2">
      <c r="A1043" s="1">
        <v>45814</v>
      </c>
      <c r="B1043">
        <v>5</v>
      </c>
      <c r="C1043" t="s">
        <v>16</v>
      </c>
      <c r="D1043" s="2">
        <v>0.45208333333333334</v>
      </c>
      <c r="E1043">
        <v>21800.880000000001</v>
      </c>
      <c r="F1043" s="2">
        <v>0.45624999999999999</v>
      </c>
      <c r="G1043">
        <v>21785.62</v>
      </c>
      <c r="H1043">
        <v>21785.62</v>
      </c>
      <c r="I1043">
        <v>21839.03</v>
      </c>
      <c r="J1043" t="s">
        <v>15</v>
      </c>
      <c r="K1043">
        <v>-15.26</v>
      </c>
      <c r="L1043" s="9">
        <v>-1</v>
      </c>
      <c r="M1043">
        <v>0</v>
      </c>
      <c r="N1043">
        <v>6</v>
      </c>
    </row>
    <row r="1044" spans="1:14" x14ac:dyDescent="0.2">
      <c r="A1044" s="1">
        <v>45817</v>
      </c>
      <c r="B1044">
        <v>1</v>
      </c>
      <c r="C1044" t="s">
        <v>13</v>
      </c>
      <c r="D1044" s="2">
        <v>0.40277777777777779</v>
      </c>
      <c r="E1044">
        <v>21738.58</v>
      </c>
      <c r="F1044" s="2">
        <v>0.40347222222222223</v>
      </c>
      <c r="G1044">
        <v>21753.79</v>
      </c>
      <c r="H1044">
        <v>21753.79</v>
      </c>
      <c r="I1044">
        <v>21700.53</v>
      </c>
      <c r="J1044" t="s">
        <v>15</v>
      </c>
      <c r="K1044">
        <v>-15.22</v>
      </c>
      <c r="L1044" s="9">
        <v>-1</v>
      </c>
      <c r="M1044">
        <v>0</v>
      </c>
      <c r="N1044">
        <v>7</v>
      </c>
    </row>
    <row r="1045" spans="1:14" x14ac:dyDescent="0.2">
      <c r="A1045" s="1">
        <v>45817</v>
      </c>
      <c r="B1045">
        <v>1</v>
      </c>
      <c r="C1045" t="s">
        <v>16</v>
      </c>
      <c r="D1045" s="2">
        <v>0.42708333333333331</v>
      </c>
      <c r="E1045">
        <v>21813</v>
      </c>
      <c r="F1045" s="2">
        <v>0.43888888888888888</v>
      </c>
      <c r="G1045">
        <v>21851.17</v>
      </c>
      <c r="H1045">
        <v>21797.73</v>
      </c>
      <c r="I1045">
        <v>21851.17</v>
      </c>
      <c r="J1045" t="s">
        <v>14</v>
      </c>
      <c r="K1045">
        <v>38.17</v>
      </c>
      <c r="L1045" s="9">
        <v>2.5</v>
      </c>
      <c r="M1045">
        <v>1</v>
      </c>
      <c r="N1045">
        <v>0</v>
      </c>
    </row>
    <row r="1046" spans="1:14" x14ac:dyDescent="0.2">
      <c r="A1046" s="1">
        <v>45817</v>
      </c>
      <c r="B1046">
        <v>1</v>
      </c>
      <c r="C1046" t="s">
        <v>13</v>
      </c>
      <c r="D1046" s="2">
        <v>0.45694444444444443</v>
      </c>
      <c r="E1046">
        <v>21814.25</v>
      </c>
      <c r="F1046" s="2">
        <v>0.46041666666666664</v>
      </c>
      <c r="G1046">
        <v>21829.52</v>
      </c>
      <c r="H1046">
        <v>21829.52</v>
      </c>
      <c r="I1046">
        <v>21776.07</v>
      </c>
      <c r="J1046" t="s">
        <v>15</v>
      </c>
      <c r="K1046">
        <v>-15.27</v>
      </c>
      <c r="L1046" s="9">
        <v>-1</v>
      </c>
      <c r="M1046">
        <v>0</v>
      </c>
      <c r="N1046">
        <v>0</v>
      </c>
    </row>
    <row r="1047" spans="1:14" x14ac:dyDescent="0.2">
      <c r="A1047" s="1">
        <v>45818</v>
      </c>
      <c r="B1047">
        <v>2</v>
      </c>
      <c r="C1047" t="s">
        <v>16</v>
      </c>
      <c r="D1047" s="2">
        <v>0.41180555555555554</v>
      </c>
      <c r="E1047">
        <v>21850.560000000001</v>
      </c>
      <c r="F1047" s="2">
        <v>0.41249999999999998</v>
      </c>
      <c r="G1047">
        <v>21835.27</v>
      </c>
      <c r="H1047">
        <v>21835.27</v>
      </c>
      <c r="I1047">
        <v>21888.799999999999</v>
      </c>
      <c r="J1047" t="s">
        <v>15</v>
      </c>
      <c r="K1047">
        <v>-15.3</v>
      </c>
      <c r="L1047" s="9">
        <v>-1</v>
      </c>
      <c r="M1047">
        <v>0</v>
      </c>
      <c r="N1047">
        <v>2</v>
      </c>
    </row>
    <row r="1048" spans="1:14" x14ac:dyDescent="0.2">
      <c r="A1048" s="1">
        <v>45818</v>
      </c>
      <c r="B1048">
        <v>2</v>
      </c>
      <c r="C1048" t="s">
        <v>16</v>
      </c>
      <c r="D1048" s="2">
        <v>0.4284722222222222</v>
      </c>
      <c r="E1048">
        <v>21849.43</v>
      </c>
      <c r="F1048" s="2">
        <v>0.4548611111111111</v>
      </c>
      <c r="G1048">
        <v>21834.14</v>
      </c>
      <c r="H1048">
        <v>21834.14</v>
      </c>
      <c r="I1048">
        <v>21887.67</v>
      </c>
      <c r="J1048" t="s">
        <v>15</v>
      </c>
      <c r="K1048">
        <v>-15.29</v>
      </c>
      <c r="L1048" s="9">
        <v>-1</v>
      </c>
      <c r="M1048">
        <v>0</v>
      </c>
      <c r="N1048">
        <v>3</v>
      </c>
    </row>
    <row r="1049" spans="1:14" x14ac:dyDescent="0.2">
      <c r="A1049" s="1">
        <v>45819</v>
      </c>
      <c r="B1049">
        <v>3</v>
      </c>
      <c r="C1049" t="s">
        <v>13</v>
      </c>
      <c r="D1049" s="2">
        <v>0.4</v>
      </c>
      <c r="E1049">
        <v>21955.5</v>
      </c>
      <c r="F1049" s="2">
        <v>0.40138888888888891</v>
      </c>
      <c r="G1049">
        <v>21970.87</v>
      </c>
      <c r="H1049">
        <v>21970.87</v>
      </c>
      <c r="I1049">
        <v>21917.08</v>
      </c>
      <c r="J1049" t="s">
        <v>15</v>
      </c>
      <c r="K1049">
        <v>-15.37</v>
      </c>
      <c r="L1049" s="9">
        <v>-1</v>
      </c>
      <c r="M1049">
        <v>0</v>
      </c>
      <c r="N1049">
        <v>4</v>
      </c>
    </row>
    <row r="1050" spans="1:14" x14ac:dyDescent="0.2">
      <c r="A1050" s="1">
        <v>45819</v>
      </c>
      <c r="B1050">
        <v>3</v>
      </c>
      <c r="C1050" t="s">
        <v>16</v>
      </c>
      <c r="D1050" s="2">
        <v>0.42708333333333331</v>
      </c>
      <c r="E1050">
        <v>21987.51</v>
      </c>
      <c r="F1050" s="2">
        <v>0.44027777777777777</v>
      </c>
      <c r="G1050">
        <v>22025.99</v>
      </c>
      <c r="H1050">
        <v>21972.12</v>
      </c>
      <c r="I1050">
        <v>22025.99</v>
      </c>
      <c r="J1050" t="s">
        <v>14</v>
      </c>
      <c r="K1050">
        <v>38.479999999999997</v>
      </c>
      <c r="L1050" s="9">
        <v>2.5</v>
      </c>
      <c r="M1050">
        <v>1</v>
      </c>
      <c r="N1050">
        <v>0</v>
      </c>
    </row>
    <row r="1051" spans="1:14" x14ac:dyDescent="0.2">
      <c r="A1051" s="1">
        <v>45820</v>
      </c>
      <c r="B1051">
        <v>4</v>
      </c>
      <c r="C1051" t="s">
        <v>16</v>
      </c>
      <c r="D1051" s="2">
        <v>0.40486111111111112</v>
      </c>
      <c r="E1051">
        <v>21845.65</v>
      </c>
      <c r="F1051" s="2">
        <v>0.41319444444444442</v>
      </c>
      <c r="G1051">
        <v>21830.35</v>
      </c>
      <c r="H1051">
        <v>21830.35</v>
      </c>
      <c r="I1051">
        <v>21883.88</v>
      </c>
      <c r="J1051" t="s">
        <v>15</v>
      </c>
      <c r="K1051">
        <v>-15.29</v>
      </c>
      <c r="L1051" s="9">
        <v>-1</v>
      </c>
      <c r="M1051">
        <v>0</v>
      </c>
      <c r="N1051">
        <v>0</v>
      </c>
    </row>
    <row r="1052" spans="1:14" x14ac:dyDescent="0.2">
      <c r="A1052" s="1">
        <v>45820</v>
      </c>
      <c r="B1052">
        <v>4</v>
      </c>
      <c r="C1052" t="s">
        <v>16</v>
      </c>
      <c r="D1052" s="2">
        <v>0.42777777777777776</v>
      </c>
      <c r="E1052">
        <v>21887.75</v>
      </c>
      <c r="F1052" s="2">
        <v>0.45902777777777776</v>
      </c>
      <c r="G1052">
        <v>21926.05</v>
      </c>
      <c r="H1052">
        <v>21872.43</v>
      </c>
      <c r="I1052">
        <v>21926.05</v>
      </c>
      <c r="J1052" t="s">
        <v>14</v>
      </c>
      <c r="K1052">
        <v>38.299999999999997</v>
      </c>
      <c r="L1052" s="9">
        <v>2.5</v>
      </c>
      <c r="M1052">
        <v>1</v>
      </c>
      <c r="N1052">
        <v>0</v>
      </c>
    </row>
    <row r="1053" spans="1:14" x14ac:dyDescent="0.2">
      <c r="A1053" s="1">
        <v>45821</v>
      </c>
      <c r="B1053">
        <v>5</v>
      </c>
      <c r="C1053" t="s">
        <v>16</v>
      </c>
      <c r="D1053" s="2">
        <v>0.4</v>
      </c>
      <c r="E1053">
        <v>21730.880000000001</v>
      </c>
      <c r="F1053" s="2">
        <v>0.40069444444444446</v>
      </c>
      <c r="G1053">
        <v>21715.67</v>
      </c>
      <c r="H1053">
        <v>21715.67</v>
      </c>
      <c r="I1053">
        <v>21768.91</v>
      </c>
      <c r="J1053" t="s">
        <v>15</v>
      </c>
      <c r="K1053">
        <v>-15.21</v>
      </c>
      <c r="L1053" s="9">
        <v>-1</v>
      </c>
      <c r="M1053">
        <v>0</v>
      </c>
      <c r="N1053">
        <v>0</v>
      </c>
    </row>
    <row r="1054" spans="1:14" x14ac:dyDescent="0.2">
      <c r="A1054" s="1">
        <v>45821</v>
      </c>
      <c r="B1054">
        <v>5</v>
      </c>
      <c r="C1054" t="s">
        <v>13</v>
      </c>
      <c r="D1054" s="2">
        <v>0.42638888888888887</v>
      </c>
      <c r="E1054">
        <v>21684.7</v>
      </c>
      <c r="F1054" s="2">
        <v>0.43055555555555558</v>
      </c>
      <c r="G1054">
        <v>21646.75</v>
      </c>
      <c r="H1054">
        <v>21699.88</v>
      </c>
      <c r="I1054">
        <v>21646.75</v>
      </c>
      <c r="J1054" t="s">
        <v>14</v>
      </c>
      <c r="K1054">
        <v>37.950000000000003</v>
      </c>
      <c r="L1054" s="9">
        <v>2.5</v>
      </c>
      <c r="M1054">
        <v>1</v>
      </c>
      <c r="N1054">
        <v>0</v>
      </c>
    </row>
    <row r="1055" spans="1:14" x14ac:dyDescent="0.2">
      <c r="A1055" s="1">
        <v>45821</v>
      </c>
      <c r="B1055">
        <v>5</v>
      </c>
      <c r="C1055" t="s">
        <v>16</v>
      </c>
      <c r="D1055" s="2">
        <v>0.45624999999999999</v>
      </c>
      <c r="E1055">
        <v>21724.74</v>
      </c>
      <c r="F1055" s="2">
        <v>0.47361111111111109</v>
      </c>
      <c r="G1055">
        <v>21762.76</v>
      </c>
      <c r="H1055">
        <v>21709.53</v>
      </c>
      <c r="I1055">
        <v>21762.76</v>
      </c>
      <c r="J1055" t="s">
        <v>14</v>
      </c>
      <c r="K1055">
        <v>38.020000000000003</v>
      </c>
      <c r="L1055" s="9">
        <v>2.5</v>
      </c>
      <c r="M1055">
        <v>1</v>
      </c>
      <c r="N1055">
        <v>2</v>
      </c>
    </row>
    <row r="1056" spans="1:14" x14ac:dyDescent="0.2">
      <c r="A1056" s="1">
        <v>45824</v>
      </c>
      <c r="B1056">
        <v>1</v>
      </c>
      <c r="C1056" t="s">
        <v>13</v>
      </c>
      <c r="D1056" s="2">
        <v>0.39583333333333331</v>
      </c>
      <c r="E1056">
        <v>21794.75</v>
      </c>
      <c r="F1056" s="2">
        <v>0.39652777777777776</v>
      </c>
      <c r="G1056">
        <v>21810</v>
      </c>
      <c r="H1056">
        <v>21810</v>
      </c>
      <c r="I1056">
        <v>21756.61</v>
      </c>
      <c r="J1056" t="s">
        <v>15</v>
      </c>
      <c r="K1056">
        <v>-15.26</v>
      </c>
      <c r="L1056" s="9">
        <v>-1</v>
      </c>
      <c r="M1056">
        <v>0</v>
      </c>
      <c r="N1056">
        <v>0</v>
      </c>
    </row>
    <row r="1057" spans="1:14" x14ac:dyDescent="0.2">
      <c r="A1057" s="1">
        <v>45824</v>
      </c>
      <c r="B1057">
        <v>1</v>
      </c>
      <c r="C1057" t="s">
        <v>16</v>
      </c>
      <c r="D1057" s="2">
        <v>0.40138888888888891</v>
      </c>
      <c r="E1057">
        <v>21833.439999999999</v>
      </c>
      <c r="F1057" s="2">
        <v>0.40625</v>
      </c>
      <c r="G1057">
        <v>21871.65</v>
      </c>
      <c r="H1057">
        <v>21818.15</v>
      </c>
      <c r="I1057">
        <v>21871.65</v>
      </c>
      <c r="J1057" t="s">
        <v>14</v>
      </c>
      <c r="K1057">
        <v>38.21</v>
      </c>
      <c r="L1057" s="9">
        <v>2.5</v>
      </c>
      <c r="M1057">
        <v>1</v>
      </c>
      <c r="N1057">
        <v>0</v>
      </c>
    </row>
    <row r="1058" spans="1:14" x14ac:dyDescent="0.2">
      <c r="A1058" s="1">
        <v>45825</v>
      </c>
      <c r="B1058">
        <v>2</v>
      </c>
      <c r="C1058" t="s">
        <v>16</v>
      </c>
      <c r="D1058" s="2">
        <v>0.39791666666666664</v>
      </c>
      <c r="E1058">
        <v>21844.3</v>
      </c>
      <c r="F1058" s="2">
        <v>0.40416666666666667</v>
      </c>
      <c r="G1058">
        <v>21829.01</v>
      </c>
      <c r="H1058">
        <v>21829.01</v>
      </c>
      <c r="I1058">
        <v>21882.53</v>
      </c>
      <c r="J1058" t="s">
        <v>15</v>
      </c>
      <c r="K1058">
        <v>-15.29</v>
      </c>
      <c r="L1058" s="9">
        <v>-1</v>
      </c>
      <c r="M1058">
        <v>0</v>
      </c>
      <c r="N1058">
        <v>0</v>
      </c>
    </row>
    <row r="1059" spans="1:14" x14ac:dyDescent="0.2">
      <c r="A1059" s="1">
        <v>45825</v>
      </c>
      <c r="B1059">
        <v>2</v>
      </c>
      <c r="C1059" t="s">
        <v>16</v>
      </c>
      <c r="D1059" s="2">
        <v>0.41736111111111113</v>
      </c>
      <c r="E1059">
        <v>21852.23</v>
      </c>
      <c r="F1059" s="2">
        <v>0.41944444444444445</v>
      </c>
      <c r="G1059">
        <v>21836.93</v>
      </c>
      <c r="H1059">
        <v>21836.93</v>
      </c>
      <c r="I1059">
        <v>21890.47</v>
      </c>
      <c r="J1059" t="s">
        <v>15</v>
      </c>
      <c r="K1059">
        <v>-15.3</v>
      </c>
      <c r="L1059" s="9">
        <v>-1</v>
      </c>
      <c r="M1059">
        <v>0</v>
      </c>
      <c r="N1059">
        <v>2</v>
      </c>
    </row>
    <row r="1060" spans="1:14" x14ac:dyDescent="0.2">
      <c r="A1060" s="1">
        <v>45827</v>
      </c>
      <c r="B1060">
        <v>4</v>
      </c>
      <c r="C1060" t="s">
        <v>16</v>
      </c>
      <c r="D1060" s="2">
        <v>0.39583333333333331</v>
      </c>
      <c r="E1060">
        <v>21544.97</v>
      </c>
      <c r="F1060" s="2">
        <v>0.3972222222222222</v>
      </c>
      <c r="G1060">
        <v>21529.88</v>
      </c>
      <c r="H1060">
        <v>21529.88</v>
      </c>
      <c r="I1060">
        <v>21582.67</v>
      </c>
      <c r="J1060" t="s">
        <v>15</v>
      </c>
      <c r="K1060">
        <v>-15.08</v>
      </c>
      <c r="L1060" s="9">
        <v>-1</v>
      </c>
      <c r="M1060">
        <v>0</v>
      </c>
      <c r="N1060">
        <v>3</v>
      </c>
    </row>
    <row r="1061" spans="1:14" x14ac:dyDescent="0.2">
      <c r="A1061" s="1">
        <v>45827</v>
      </c>
      <c r="B1061">
        <v>4</v>
      </c>
      <c r="C1061" t="s">
        <v>13</v>
      </c>
      <c r="D1061" s="2">
        <v>0.40486111111111112</v>
      </c>
      <c r="E1061">
        <v>21495.599999999999</v>
      </c>
      <c r="F1061" s="2">
        <v>0.40763888888888888</v>
      </c>
      <c r="G1061">
        <v>21457.98</v>
      </c>
      <c r="H1061">
        <v>21510.65</v>
      </c>
      <c r="I1061">
        <v>21457.98</v>
      </c>
      <c r="J1061" t="s">
        <v>14</v>
      </c>
      <c r="K1061">
        <v>37.619999999999997</v>
      </c>
      <c r="L1061" s="9">
        <v>2.5</v>
      </c>
      <c r="M1061">
        <v>1</v>
      </c>
      <c r="N1061">
        <v>0</v>
      </c>
    </row>
    <row r="1062" spans="1:14" x14ac:dyDescent="0.2">
      <c r="A1062" s="1">
        <v>45827</v>
      </c>
      <c r="B1062">
        <v>4</v>
      </c>
      <c r="C1062" t="s">
        <v>16</v>
      </c>
      <c r="D1062" s="2">
        <v>0.43611111111111112</v>
      </c>
      <c r="E1062">
        <v>21484.98</v>
      </c>
      <c r="F1062" s="2">
        <v>0.43819444444444444</v>
      </c>
      <c r="G1062">
        <v>21469.94</v>
      </c>
      <c r="H1062">
        <v>21469.94</v>
      </c>
      <c r="I1062">
        <v>21522.57</v>
      </c>
      <c r="J1062" t="s">
        <v>15</v>
      </c>
      <c r="K1062">
        <v>-15.04</v>
      </c>
      <c r="L1062" s="9">
        <v>-1</v>
      </c>
      <c r="M1062">
        <v>0</v>
      </c>
      <c r="N1062">
        <v>0</v>
      </c>
    </row>
    <row r="1063" spans="1:14" x14ac:dyDescent="0.2">
      <c r="A1063" s="1">
        <v>45828</v>
      </c>
      <c r="B1063">
        <v>5</v>
      </c>
      <c r="C1063" t="s">
        <v>16</v>
      </c>
      <c r="D1063" s="2">
        <v>0.39652777777777776</v>
      </c>
      <c r="E1063">
        <v>21849.45</v>
      </c>
      <c r="F1063" s="2">
        <v>0.4</v>
      </c>
      <c r="G1063">
        <v>21887.69</v>
      </c>
      <c r="H1063">
        <v>21834.16</v>
      </c>
      <c r="I1063">
        <v>21887.69</v>
      </c>
      <c r="J1063" t="s">
        <v>14</v>
      </c>
      <c r="K1063">
        <v>38.24</v>
      </c>
      <c r="L1063" s="9">
        <v>2.5</v>
      </c>
      <c r="M1063">
        <v>1</v>
      </c>
      <c r="N1063">
        <v>0</v>
      </c>
    </row>
    <row r="1064" spans="1:14" x14ac:dyDescent="0.2">
      <c r="A1064" s="1">
        <v>45828</v>
      </c>
      <c r="B1064">
        <v>5</v>
      </c>
      <c r="C1064" t="s">
        <v>13</v>
      </c>
      <c r="D1064" s="2">
        <v>0.41666666666666669</v>
      </c>
      <c r="E1064">
        <v>21800.35</v>
      </c>
      <c r="F1064" s="2">
        <v>0.42222222222222222</v>
      </c>
      <c r="G1064">
        <v>21762.2</v>
      </c>
      <c r="H1064">
        <v>21815.61</v>
      </c>
      <c r="I1064">
        <v>21762.2</v>
      </c>
      <c r="J1064" t="s">
        <v>14</v>
      </c>
      <c r="K1064">
        <v>38.15</v>
      </c>
      <c r="L1064" s="9">
        <v>2.5</v>
      </c>
      <c r="M1064">
        <v>1</v>
      </c>
      <c r="N1064">
        <v>2</v>
      </c>
    </row>
    <row r="1065" spans="1:14" x14ac:dyDescent="0.2">
      <c r="A1065" s="1">
        <v>45834</v>
      </c>
      <c r="B1065">
        <v>4</v>
      </c>
      <c r="C1065" t="s">
        <v>13</v>
      </c>
      <c r="D1065" s="2">
        <v>0.41111111111111109</v>
      </c>
      <c r="E1065">
        <v>22272.06</v>
      </c>
      <c r="F1065" s="2">
        <v>0.41249999999999998</v>
      </c>
      <c r="G1065">
        <v>22287.65</v>
      </c>
      <c r="H1065">
        <v>22287.65</v>
      </c>
      <c r="I1065">
        <v>22233.08</v>
      </c>
      <c r="J1065" t="s">
        <v>15</v>
      </c>
      <c r="K1065">
        <v>-15.59</v>
      </c>
      <c r="L1065" s="9">
        <v>-1</v>
      </c>
      <c r="M1065">
        <v>0</v>
      </c>
      <c r="N1065">
        <v>0</v>
      </c>
    </row>
    <row r="1066" spans="1:14" x14ac:dyDescent="0.2">
      <c r="A1066" s="1">
        <v>45834</v>
      </c>
      <c r="B1066">
        <v>4</v>
      </c>
      <c r="C1066" t="s">
        <v>16</v>
      </c>
      <c r="D1066" s="2">
        <v>0.43402777777777779</v>
      </c>
      <c r="E1066">
        <v>22344.9</v>
      </c>
      <c r="F1066" s="2">
        <v>0.46944444444444444</v>
      </c>
      <c r="G1066">
        <v>22384.01</v>
      </c>
      <c r="H1066">
        <v>22329.26</v>
      </c>
      <c r="I1066">
        <v>22384.01</v>
      </c>
      <c r="J1066" t="s">
        <v>14</v>
      </c>
      <c r="K1066">
        <v>39.1</v>
      </c>
      <c r="L1066" s="9">
        <v>2.5</v>
      </c>
      <c r="M1066">
        <v>1</v>
      </c>
      <c r="N1066">
        <v>0</v>
      </c>
    </row>
    <row r="1067" spans="1:14" x14ac:dyDescent="0.2">
      <c r="A1067" s="1">
        <v>45835</v>
      </c>
      <c r="B1067">
        <v>5</v>
      </c>
      <c r="C1067" t="s">
        <v>16</v>
      </c>
      <c r="D1067" s="2">
        <v>0.40763888888888888</v>
      </c>
      <c r="E1067">
        <v>22519.65</v>
      </c>
      <c r="F1067" s="2">
        <v>0.41666666666666669</v>
      </c>
      <c r="G1067">
        <v>22559.05</v>
      </c>
      <c r="H1067">
        <v>22503.88</v>
      </c>
      <c r="I1067">
        <v>22559.05</v>
      </c>
      <c r="J1067" t="s">
        <v>14</v>
      </c>
      <c r="K1067">
        <v>39.409999999999997</v>
      </c>
      <c r="L1067" s="9">
        <v>2.5</v>
      </c>
      <c r="M1067">
        <v>1</v>
      </c>
      <c r="N1067">
        <v>2</v>
      </c>
    </row>
    <row r="1068" spans="1:14" x14ac:dyDescent="0.2">
      <c r="A1068" s="1">
        <v>45835</v>
      </c>
      <c r="B1068">
        <v>5</v>
      </c>
      <c r="C1068" t="s">
        <v>13</v>
      </c>
      <c r="D1068" s="2">
        <v>0.45763888888888887</v>
      </c>
      <c r="E1068">
        <v>22543.91</v>
      </c>
      <c r="F1068" s="2">
        <v>0.46250000000000002</v>
      </c>
      <c r="G1068">
        <v>22559.7</v>
      </c>
      <c r="H1068">
        <v>22559.7</v>
      </c>
      <c r="I1068">
        <v>22504.46</v>
      </c>
      <c r="J1068" t="s">
        <v>15</v>
      </c>
      <c r="K1068">
        <v>-15.78</v>
      </c>
      <c r="L1068" s="9">
        <v>-1</v>
      </c>
      <c r="M1068">
        <v>0</v>
      </c>
      <c r="N1068">
        <v>0</v>
      </c>
    </row>
    <row r="1069" spans="1:14" x14ac:dyDescent="0.2">
      <c r="A1069" s="1">
        <v>45838</v>
      </c>
      <c r="B1069">
        <v>1</v>
      </c>
      <c r="C1069" t="s">
        <v>13</v>
      </c>
      <c r="D1069" s="2">
        <v>0.41111111111111109</v>
      </c>
      <c r="E1069">
        <v>22589.79</v>
      </c>
      <c r="F1069" s="2">
        <v>0.41319444444444442</v>
      </c>
      <c r="G1069">
        <v>22605.599999999999</v>
      </c>
      <c r="H1069">
        <v>22605.599999999999</v>
      </c>
      <c r="I1069">
        <v>22550.26</v>
      </c>
      <c r="J1069" t="s">
        <v>15</v>
      </c>
      <c r="K1069">
        <v>-15.81</v>
      </c>
      <c r="L1069" s="9">
        <v>-1</v>
      </c>
      <c r="M1069">
        <v>0</v>
      </c>
      <c r="N1069">
        <v>2</v>
      </c>
    </row>
    <row r="1070" spans="1:14" x14ac:dyDescent="0.2">
      <c r="A1070" s="1">
        <v>45838</v>
      </c>
      <c r="B1070">
        <v>1</v>
      </c>
      <c r="C1070" t="s">
        <v>16</v>
      </c>
      <c r="D1070" s="2">
        <v>0.42708333333333331</v>
      </c>
      <c r="E1070">
        <v>22623.59</v>
      </c>
      <c r="F1070" s="2">
        <v>0.4284722222222222</v>
      </c>
      <c r="G1070">
        <v>22607.75</v>
      </c>
      <c r="H1070">
        <v>22607.75</v>
      </c>
      <c r="I1070">
        <v>22663.18</v>
      </c>
      <c r="J1070" t="s">
        <v>15</v>
      </c>
      <c r="K1070">
        <v>-15.84</v>
      </c>
      <c r="L1070" s="9">
        <v>-1</v>
      </c>
      <c r="M1070">
        <v>0</v>
      </c>
      <c r="N1070">
        <v>3</v>
      </c>
    </row>
    <row r="1071" spans="1:14" x14ac:dyDescent="0.2">
      <c r="A1071" s="1">
        <v>45841</v>
      </c>
      <c r="B1071">
        <v>4</v>
      </c>
      <c r="C1071" t="s">
        <v>16</v>
      </c>
      <c r="D1071" s="2">
        <v>0.39583333333333331</v>
      </c>
      <c r="E1071">
        <v>22736.36</v>
      </c>
      <c r="F1071" s="2">
        <v>0.39652777777777776</v>
      </c>
      <c r="G1071">
        <v>22776.15</v>
      </c>
      <c r="H1071">
        <v>22720.45</v>
      </c>
      <c r="I1071">
        <v>22776.15</v>
      </c>
      <c r="J1071" t="s">
        <v>14</v>
      </c>
      <c r="K1071">
        <v>39.79</v>
      </c>
      <c r="L1071" s="9">
        <v>2.5</v>
      </c>
      <c r="M1071">
        <v>1</v>
      </c>
      <c r="N1071">
        <v>0</v>
      </c>
    </row>
    <row r="1072" spans="1:14" x14ac:dyDescent="0.2">
      <c r="A1072" s="1">
        <v>45841</v>
      </c>
      <c r="B1072">
        <v>4</v>
      </c>
      <c r="C1072" t="s">
        <v>16</v>
      </c>
      <c r="D1072" s="2">
        <v>0.41388888888888886</v>
      </c>
      <c r="E1072">
        <v>22791.5</v>
      </c>
      <c r="F1072" s="2">
        <v>0.41805555555555557</v>
      </c>
      <c r="G1072">
        <v>22831.39</v>
      </c>
      <c r="H1072">
        <v>22775.55</v>
      </c>
      <c r="I1072">
        <v>22831.39</v>
      </c>
      <c r="J1072" t="s">
        <v>14</v>
      </c>
      <c r="K1072">
        <v>39.89</v>
      </c>
      <c r="L1072" s="9">
        <v>2.5</v>
      </c>
      <c r="M1072">
        <v>1</v>
      </c>
      <c r="N1072">
        <v>2</v>
      </c>
    </row>
    <row r="1073" spans="1:14" x14ac:dyDescent="0.2">
      <c r="A1073" s="1">
        <v>45842</v>
      </c>
      <c r="B1073">
        <v>5</v>
      </c>
      <c r="C1073" t="s">
        <v>16</v>
      </c>
      <c r="D1073" s="2">
        <v>0.41458333333333336</v>
      </c>
      <c r="E1073">
        <v>22724.58</v>
      </c>
      <c r="F1073" s="2">
        <v>0.4152777777777778</v>
      </c>
      <c r="G1073">
        <v>22708.67</v>
      </c>
      <c r="H1073">
        <v>22708.67</v>
      </c>
      <c r="I1073">
        <v>22764.34</v>
      </c>
      <c r="J1073" t="s">
        <v>15</v>
      </c>
      <c r="K1073">
        <v>-15.91</v>
      </c>
      <c r="L1073" s="9">
        <v>-1</v>
      </c>
      <c r="M1073">
        <v>0</v>
      </c>
      <c r="N1073">
        <v>0</v>
      </c>
    </row>
    <row r="1074" spans="1:14" x14ac:dyDescent="0.2">
      <c r="A1074" s="1">
        <v>45842</v>
      </c>
      <c r="B1074">
        <v>5</v>
      </c>
      <c r="C1074" t="s">
        <v>13</v>
      </c>
      <c r="D1074" s="2">
        <v>0.42638888888888887</v>
      </c>
      <c r="E1074">
        <v>22708.76</v>
      </c>
      <c r="F1074" s="2">
        <v>0.43611111111111112</v>
      </c>
      <c r="G1074">
        <v>22724.66</v>
      </c>
      <c r="H1074">
        <v>22724.66</v>
      </c>
      <c r="I1074">
        <v>22669.02</v>
      </c>
      <c r="J1074" t="s">
        <v>15</v>
      </c>
      <c r="K1074">
        <v>-15.9</v>
      </c>
      <c r="L1074" s="9">
        <v>-1</v>
      </c>
      <c r="M1074">
        <v>0</v>
      </c>
      <c r="N1074">
        <v>2</v>
      </c>
    </row>
    <row r="1075" spans="1:14" x14ac:dyDescent="0.2">
      <c r="A1075" s="1">
        <v>45842</v>
      </c>
      <c r="B1075">
        <v>5</v>
      </c>
      <c r="C1075" t="s">
        <v>16</v>
      </c>
      <c r="D1075" s="2">
        <v>0.44305555555555554</v>
      </c>
      <c r="E1075">
        <v>22736.12</v>
      </c>
      <c r="F1075" s="2">
        <v>0.46875</v>
      </c>
      <c r="G1075">
        <v>22720.21</v>
      </c>
      <c r="H1075">
        <v>22720.21</v>
      </c>
      <c r="I1075">
        <v>22775.91</v>
      </c>
      <c r="J1075" t="s">
        <v>15</v>
      </c>
      <c r="K1075">
        <v>-15.92</v>
      </c>
      <c r="L1075" s="9">
        <v>-1</v>
      </c>
      <c r="M1075">
        <v>0</v>
      </c>
      <c r="N1075">
        <v>3</v>
      </c>
    </row>
    <row r="1076" spans="1:14" x14ac:dyDescent="0.2">
      <c r="A1076" s="1">
        <v>45845</v>
      </c>
      <c r="B1076">
        <v>1</v>
      </c>
      <c r="C1076" t="s">
        <v>13</v>
      </c>
      <c r="D1076" s="2">
        <v>0.45555555555555555</v>
      </c>
      <c r="E1076">
        <v>22708.34</v>
      </c>
      <c r="F1076" s="2">
        <v>0.47986111111111113</v>
      </c>
      <c r="G1076">
        <v>22724.23</v>
      </c>
      <c r="H1076">
        <v>22724.23</v>
      </c>
      <c r="I1076">
        <v>22668.6</v>
      </c>
      <c r="J1076" t="s">
        <v>15</v>
      </c>
      <c r="K1076">
        <v>-15.9</v>
      </c>
      <c r="L1076" s="9">
        <v>-1</v>
      </c>
      <c r="M1076">
        <v>0</v>
      </c>
      <c r="N1076">
        <v>4</v>
      </c>
    </row>
    <row r="1077" spans="1:14" x14ac:dyDescent="0.2">
      <c r="A1077" s="1">
        <v>45846</v>
      </c>
      <c r="B1077">
        <v>2</v>
      </c>
      <c r="C1077" t="s">
        <v>13</v>
      </c>
      <c r="D1077" s="2">
        <v>0.39791666666666664</v>
      </c>
      <c r="E1077">
        <v>22728.77</v>
      </c>
      <c r="F1077" s="2">
        <v>0.41597222222222224</v>
      </c>
      <c r="G1077">
        <v>22688.99</v>
      </c>
      <c r="H1077">
        <v>22744.68</v>
      </c>
      <c r="I1077">
        <v>22688.99</v>
      </c>
      <c r="J1077" t="s">
        <v>14</v>
      </c>
      <c r="K1077">
        <v>39.78</v>
      </c>
      <c r="L1077" s="9">
        <v>2.5</v>
      </c>
      <c r="M1077">
        <v>1</v>
      </c>
      <c r="N1077">
        <v>0</v>
      </c>
    </row>
    <row r="1078" spans="1:14" x14ac:dyDescent="0.2">
      <c r="A1078" s="1">
        <v>45846</v>
      </c>
      <c r="B1078">
        <v>2</v>
      </c>
      <c r="C1078" t="s">
        <v>16</v>
      </c>
      <c r="D1078" s="2">
        <v>0.44513888888888886</v>
      </c>
      <c r="E1078">
        <v>22737.27</v>
      </c>
      <c r="F1078" s="2">
        <v>0.44791666666666669</v>
      </c>
      <c r="G1078">
        <v>22721.35</v>
      </c>
      <c r="H1078">
        <v>22721.35</v>
      </c>
      <c r="I1078">
        <v>22777.06</v>
      </c>
      <c r="J1078" t="s">
        <v>15</v>
      </c>
      <c r="K1078">
        <v>-15.92</v>
      </c>
      <c r="L1078" s="9">
        <v>-1</v>
      </c>
      <c r="M1078">
        <v>0</v>
      </c>
      <c r="N1078">
        <v>0</v>
      </c>
    </row>
    <row r="1079" spans="1:14" x14ac:dyDescent="0.2">
      <c r="A1079" s="1">
        <v>45847</v>
      </c>
      <c r="B1079">
        <v>3</v>
      </c>
      <c r="C1079" t="s">
        <v>16</v>
      </c>
      <c r="D1079" s="2">
        <v>0.40277777777777779</v>
      </c>
      <c r="E1079">
        <v>22844.55</v>
      </c>
      <c r="F1079" s="2">
        <v>0.40694444444444444</v>
      </c>
      <c r="G1079">
        <v>22884.53</v>
      </c>
      <c r="H1079">
        <v>22828.560000000001</v>
      </c>
      <c r="I1079">
        <v>22884.53</v>
      </c>
      <c r="J1079" t="s">
        <v>14</v>
      </c>
      <c r="K1079">
        <v>39.979999999999997</v>
      </c>
      <c r="L1079" s="9">
        <v>2.5</v>
      </c>
      <c r="M1079">
        <v>1</v>
      </c>
      <c r="N1079">
        <v>0</v>
      </c>
    </row>
    <row r="1080" spans="1:14" x14ac:dyDescent="0.2">
      <c r="A1080" s="1">
        <v>45847</v>
      </c>
      <c r="B1080">
        <v>3</v>
      </c>
      <c r="C1080" t="s">
        <v>13</v>
      </c>
      <c r="D1080" s="2">
        <v>0.44305555555555554</v>
      </c>
      <c r="E1080">
        <v>22796.12</v>
      </c>
      <c r="F1080" s="2">
        <v>0.4513888888888889</v>
      </c>
      <c r="G1080">
        <v>22756.23</v>
      </c>
      <c r="H1080">
        <v>22812.080000000002</v>
      </c>
      <c r="I1080">
        <v>22756.23</v>
      </c>
      <c r="J1080" t="s">
        <v>14</v>
      </c>
      <c r="K1080">
        <v>39.89</v>
      </c>
      <c r="L1080" s="9">
        <v>2.5</v>
      </c>
      <c r="M1080">
        <v>1</v>
      </c>
      <c r="N1080">
        <v>2</v>
      </c>
    </row>
    <row r="1081" spans="1:14" x14ac:dyDescent="0.2">
      <c r="A1081" s="1">
        <v>45848</v>
      </c>
      <c r="B1081">
        <v>4</v>
      </c>
      <c r="C1081" t="s">
        <v>16</v>
      </c>
      <c r="D1081" s="2">
        <v>0.39583333333333331</v>
      </c>
      <c r="E1081">
        <v>22882.55</v>
      </c>
      <c r="F1081" s="2">
        <v>0.3972222222222222</v>
      </c>
      <c r="G1081">
        <v>22866.53</v>
      </c>
      <c r="H1081">
        <v>22866.53</v>
      </c>
      <c r="I1081">
        <v>22922.59</v>
      </c>
      <c r="J1081" t="s">
        <v>15</v>
      </c>
      <c r="K1081">
        <v>-16.02</v>
      </c>
      <c r="L1081" s="9">
        <v>-1</v>
      </c>
      <c r="M1081">
        <v>0</v>
      </c>
      <c r="N1081">
        <v>0</v>
      </c>
    </row>
    <row r="1082" spans="1:14" x14ac:dyDescent="0.2">
      <c r="A1082" s="1">
        <v>45848</v>
      </c>
      <c r="B1082">
        <v>4</v>
      </c>
      <c r="C1082" t="s">
        <v>13</v>
      </c>
      <c r="D1082" s="2">
        <v>0.40555555555555556</v>
      </c>
      <c r="E1082">
        <v>22841.11</v>
      </c>
      <c r="F1082" s="2">
        <v>0.40902777777777777</v>
      </c>
      <c r="G1082">
        <v>22801.14</v>
      </c>
      <c r="H1082">
        <v>22857.1</v>
      </c>
      <c r="I1082">
        <v>22801.14</v>
      </c>
      <c r="J1082" t="s">
        <v>14</v>
      </c>
      <c r="K1082">
        <v>39.97</v>
      </c>
      <c r="L1082" s="9">
        <v>2.5</v>
      </c>
      <c r="M1082">
        <v>1</v>
      </c>
      <c r="N1082">
        <v>0</v>
      </c>
    </row>
    <row r="1083" spans="1:14" x14ac:dyDescent="0.2">
      <c r="A1083" s="1">
        <v>45848</v>
      </c>
      <c r="B1083">
        <v>4</v>
      </c>
      <c r="C1083" t="s">
        <v>16</v>
      </c>
      <c r="D1083" s="2">
        <v>0.4465277777777778</v>
      </c>
      <c r="E1083">
        <v>22779</v>
      </c>
      <c r="F1083" s="2">
        <v>0.46736111111111112</v>
      </c>
      <c r="G1083">
        <v>22763.05</v>
      </c>
      <c r="H1083">
        <v>22763.05</v>
      </c>
      <c r="I1083">
        <v>22818.86</v>
      </c>
      <c r="J1083" t="s">
        <v>15</v>
      </c>
      <c r="K1083">
        <v>-15.95</v>
      </c>
      <c r="L1083" s="9">
        <v>-1</v>
      </c>
      <c r="M1083">
        <v>0</v>
      </c>
      <c r="N1083">
        <v>0</v>
      </c>
    </row>
    <row r="1084" spans="1:14" x14ac:dyDescent="0.2">
      <c r="A1084" s="1">
        <v>45849</v>
      </c>
      <c r="B1084">
        <v>5</v>
      </c>
      <c r="C1084" t="s">
        <v>16</v>
      </c>
      <c r="D1084" s="2">
        <v>0.41736111111111113</v>
      </c>
      <c r="E1084">
        <v>22780.81</v>
      </c>
      <c r="F1084" s="2">
        <v>0.4236111111111111</v>
      </c>
      <c r="G1084">
        <v>22764.87</v>
      </c>
      <c r="H1084">
        <v>22764.87</v>
      </c>
      <c r="I1084">
        <v>22820.68</v>
      </c>
      <c r="J1084" t="s">
        <v>15</v>
      </c>
      <c r="K1084">
        <v>-15.95</v>
      </c>
      <c r="L1084" s="9">
        <v>-1</v>
      </c>
      <c r="M1084">
        <v>0</v>
      </c>
      <c r="N1084">
        <v>2</v>
      </c>
    </row>
    <row r="1085" spans="1:14" x14ac:dyDescent="0.2">
      <c r="A1085" s="1">
        <v>45849</v>
      </c>
      <c r="B1085">
        <v>5</v>
      </c>
      <c r="C1085" t="s">
        <v>13</v>
      </c>
      <c r="D1085" s="2">
        <v>0.45555555555555555</v>
      </c>
      <c r="E1085">
        <v>22783.19</v>
      </c>
      <c r="F1085" s="2">
        <v>0.46805555555555556</v>
      </c>
      <c r="G1085">
        <v>22743.32</v>
      </c>
      <c r="H1085">
        <v>22799.14</v>
      </c>
      <c r="I1085">
        <v>22743.32</v>
      </c>
      <c r="J1085" t="s">
        <v>14</v>
      </c>
      <c r="K1085">
        <v>39.869999999999997</v>
      </c>
      <c r="L1085" s="9">
        <v>2.5</v>
      </c>
      <c r="M1085">
        <v>1</v>
      </c>
      <c r="N1085">
        <v>0</v>
      </c>
    </row>
    <row r="1086" spans="1:14" x14ac:dyDescent="0.2">
      <c r="A1086" s="1">
        <v>45852</v>
      </c>
      <c r="B1086">
        <v>1</v>
      </c>
      <c r="C1086" t="s">
        <v>16</v>
      </c>
      <c r="D1086" s="2">
        <v>0.39583333333333331</v>
      </c>
      <c r="E1086">
        <v>22757.72</v>
      </c>
      <c r="F1086" s="2">
        <v>0.39652777777777776</v>
      </c>
      <c r="G1086">
        <v>22797.54</v>
      </c>
      <c r="H1086">
        <v>22741.79</v>
      </c>
      <c r="I1086">
        <v>22797.54</v>
      </c>
      <c r="J1086" t="s">
        <v>14</v>
      </c>
      <c r="K1086">
        <v>39.83</v>
      </c>
      <c r="L1086" s="9">
        <v>2.5</v>
      </c>
      <c r="M1086">
        <v>1</v>
      </c>
      <c r="N1086">
        <v>2</v>
      </c>
    </row>
    <row r="1087" spans="1:14" x14ac:dyDescent="0.2">
      <c r="A1087" s="1">
        <v>45852</v>
      </c>
      <c r="B1087">
        <v>1</v>
      </c>
      <c r="C1087" t="s">
        <v>16</v>
      </c>
      <c r="D1087" s="2">
        <v>0.42222222222222222</v>
      </c>
      <c r="E1087">
        <v>22754.21</v>
      </c>
      <c r="F1087" s="2">
        <v>0.42569444444444443</v>
      </c>
      <c r="G1087">
        <v>22738.28</v>
      </c>
      <c r="H1087">
        <v>22738.28</v>
      </c>
      <c r="I1087">
        <v>22794.03</v>
      </c>
      <c r="J1087" t="s">
        <v>15</v>
      </c>
      <c r="K1087">
        <v>-15.93</v>
      </c>
      <c r="L1087" s="9">
        <v>-1</v>
      </c>
      <c r="M1087">
        <v>0</v>
      </c>
      <c r="N1087">
        <v>0</v>
      </c>
    </row>
    <row r="1088" spans="1:14" x14ac:dyDescent="0.2">
      <c r="A1088" s="1">
        <v>45852</v>
      </c>
      <c r="B1088">
        <v>1</v>
      </c>
      <c r="C1088" t="s">
        <v>16</v>
      </c>
      <c r="D1088" s="2">
        <v>0.4548611111111111</v>
      </c>
      <c r="E1088">
        <v>22799.54</v>
      </c>
      <c r="F1088" s="2">
        <v>0.46111111111111114</v>
      </c>
      <c r="G1088">
        <v>22839.439999999999</v>
      </c>
      <c r="H1088">
        <v>22783.58</v>
      </c>
      <c r="I1088">
        <v>22839.439999999999</v>
      </c>
      <c r="J1088" t="s">
        <v>14</v>
      </c>
      <c r="K1088">
        <v>39.9</v>
      </c>
      <c r="L1088" s="9">
        <v>2.5</v>
      </c>
      <c r="M1088">
        <v>1</v>
      </c>
      <c r="N1088">
        <v>0</v>
      </c>
    </row>
    <row r="1089" spans="1:14" x14ac:dyDescent="0.2">
      <c r="A1089" s="1">
        <v>45853</v>
      </c>
      <c r="B1089">
        <v>2</v>
      </c>
      <c r="C1089" t="s">
        <v>13</v>
      </c>
      <c r="D1089" s="2">
        <v>0.40416666666666667</v>
      </c>
      <c r="E1089">
        <v>22978.44</v>
      </c>
      <c r="F1089" s="2">
        <v>0.40625</v>
      </c>
      <c r="G1089">
        <v>22994.52</v>
      </c>
      <c r="H1089">
        <v>22994.52</v>
      </c>
      <c r="I1089">
        <v>22938.22</v>
      </c>
      <c r="J1089" t="s">
        <v>15</v>
      </c>
      <c r="K1089">
        <v>-16.079999999999998</v>
      </c>
      <c r="L1089" s="9">
        <v>-1</v>
      </c>
      <c r="M1089">
        <v>0</v>
      </c>
      <c r="N1089">
        <v>0</v>
      </c>
    </row>
    <row r="1090" spans="1:14" x14ac:dyDescent="0.2">
      <c r="A1090" s="1">
        <v>45853</v>
      </c>
      <c r="B1090">
        <v>2</v>
      </c>
      <c r="C1090" t="s">
        <v>13</v>
      </c>
      <c r="D1090" s="2">
        <v>0.44513888888888886</v>
      </c>
      <c r="E1090">
        <v>22981.07</v>
      </c>
      <c r="F1090" s="2">
        <v>0.45347222222222222</v>
      </c>
      <c r="G1090">
        <v>22940.85</v>
      </c>
      <c r="H1090">
        <v>22997.16</v>
      </c>
      <c r="I1090">
        <v>22940.85</v>
      </c>
      <c r="J1090" t="s">
        <v>14</v>
      </c>
      <c r="K1090">
        <v>40.22</v>
      </c>
      <c r="L1090" s="9">
        <v>2.5</v>
      </c>
      <c r="M1090">
        <v>1</v>
      </c>
      <c r="N1090">
        <v>0</v>
      </c>
    </row>
    <row r="1091" spans="1:14" x14ac:dyDescent="0.2">
      <c r="A1091" s="1">
        <v>45854</v>
      </c>
      <c r="B1091">
        <v>3</v>
      </c>
      <c r="C1091" t="s">
        <v>13</v>
      </c>
      <c r="D1091" s="2">
        <v>0.40625</v>
      </c>
      <c r="E1091">
        <v>22847.47</v>
      </c>
      <c r="F1091" s="2">
        <v>0.40972222222222221</v>
      </c>
      <c r="G1091">
        <v>22807.48</v>
      </c>
      <c r="H1091">
        <v>22863.46</v>
      </c>
      <c r="I1091">
        <v>22807.48</v>
      </c>
      <c r="J1091" t="s">
        <v>14</v>
      </c>
      <c r="K1091">
        <v>39.979999999999997</v>
      </c>
      <c r="L1091" s="9">
        <v>2.5</v>
      </c>
      <c r="M1091">
        <v>1</v>
      </c>
      <c r="N1091">
        <v>2</v>
      </c>
    </row>
    <row r="1092" spans="1:14" x14ac:dyDescent="0.2">
      <c r="A1092" s="1">
        <v>45854</v>
      </c>
      <c r="B1092">
        <v>3</v>
      </c>
      <c r="C1092" t="s">
        <v>16</v>
      </c>
      <c r="D1092" s="2">
        <v>0.44027777777777777</v>
      </c>
      <c r="E1092">
        <v>22847.22</v>
      </c>
      <c r="F1092" s="2">
        <v>0.44097222222222221</v>
      </c>
      <c r="G1092">
        <v>22831.23</v>
      </c>
      <c r="H1092">
        <v>22831.23</v>
      </c>
      <c r="I1092">
        <v>22887.200000000001</v>
      </c>
      <c r="J1092" t="s">
        <v>15</v>
      </c>
      <c r="K1092">
        <v>-15.99</v>
      </c>
      <c r="L1092" s="9">
        <v>-1</v>
      </c>
      <c r="M1092">
        <v>0</v>
      </c>
      <c r="N1092">
        <v>0</v>
      </c>
    </row>
    <row r="1093" spans="1:14" x14ac:dyDescent="0.2">
      <c r="A1093" s="1">
        <v>45855</v>
      </c>
      <c r="B1093">
        <v>4</v>
      </c>
      <c r="C1093" t="s">
        <v>13</v>
      </c>
      <c r="D1093" s="2">
        <v>0.39583333333333331</v>
      </c>
      <c r="E1093">
        <v>22938.3</v>
      </c>
      <c r="F1093" s="2">
        <v>0.39861111111111114</v>
      </c>
      <c r="G1093">
        <v>22898.16</v>
      </c>
      <c r="H1093">
        <v>22954.36</v>
      </c>
      <c r="I1093">
        <v>22898.16</v>
      </c>
      <c r="J1093" t="s">
        <v>14</v>
      </c>
      <c r="K1093">
        <v>40.14</v>
      </c>
      <c r="L1093" s="9">
        <v>2.5</v>
      </c>
      <c r="M1093">
        <v>1</v>
      </c>
      <c r="N1093">
        <v>0</v>
      </c>
    </row>
    <row r="1094" spans="1:14" x14ac:dyDescent="0.2">
      <c r="A1094" s="1">
        <v>45855</v>
      </c>
      <c r="B1094">
        <v>4</v>
      </c>
      <c r="C1094" t="s">
        <v>16</v>
      </c>
      <c r="D1094" s="2">
        <v>0.41319444444444442</v>
      </c>
      <c r="E1094">
        <v>22976.7</v>
      </c>
      <c r="F1094" s="2">
        <v>0.43055555555555558</v>
      </c>
      <c r="G1094">
        <v>22960.62</v>
      </c>
      <c r="H1094">
        <v>22960.62</v>
      </c>
      <c r="I1094">
        <v>23016.91</v>
      </c>
      <c r="J1094" t="s">
        <v>15</v>
      </c>
      <c r="K1094">
        <v>-16.079999999999998</v>
      </c>
      <c r="L1094" s="9">
        <v>-1</v>
      </c>
      <c r="M1094">
        <v>0</v>
      </c>
      <c r="N1094">
        <v>0</v>
      </c>
    </row>
    <row r="1095" spans="1:14" x14ac:dyDescent="0.2">
      <c r="A1095" s="1">
        <v>45855</v>
      </c>
      <c r="B1095">
        <v>4</v>
      </c>
      <c r="C1095" t="s">
        <v>16</v>
      </c>
      <c r="D1095" s="2">
        <v>0.44722222222222224</v>
      </c>
      <c r="E1095">
        <v>23002.73</v>
      </c>
      <c r="F1095" s="2">
        <v>0.46111111111111114</v>
      </c>
      <c r="G1095">
        <v>23042.98</v>
      </c>
      <c r="H1095">
        <v>22986.63</v>
      </c>
      <c r="I1095">
        <v>23042.98</v>
      </c>
      <c r="J1095" t="s">
        <v>14</v>
      </c>
      <c r="K1095">
        <v>40.25</v>
      </c>
      <c r="L1095" s="9">
        <v>2.5</v>
      </c>
      <c r="M1095">
        <v>1</v>
      </c>
      <c r="N1095">
        <v>0</v>
      </c>
    </row>
    <row r="1096" spans="1:14" x14ac:dyDescent="0.2">
      <c r="A1096" s="1">
        <v>45856</v>
      </c>
      <c r="B1096">
        <v>5</v>
      </c>
      <c r="C1096" t="s">
        <v>13</v>
      </c>
      <c r="D1096" s="2">
        <v>0.41666666666666669</v>
      </c>
      <c r="E1096">
        <v>23101.54</v>
      </c>
      <c r="F1096" s="2">
        <v>0.42638888888888887</v>
      </c>
      <c r="G1096">
        <v>23061.11</v>
      </c>
      <c r="H1096">
        <v>23117.71</v>
      </c>
      <c r="I1096">
        <v>23061.11</v>
      </c>
      <c r="J1096" t="s">
        <v>14</v>
      </c>
      <c r="K1096">
        <v>40.43</v>
      </c>
      <c r="L1096" s="9">
        <v>2.5</v>
      </c>
      <c r="M1096">
        <v>1</v>
      </c>
      <c r="N1096">
        <v>2</v>
      </c>
    </row>
    <row r="1097" spans="1:14" x14ac:dyDescent="0.2">
      <c r="A1097" s="1">
        <v>45859</v>
      </c>
      <c r="B1097">
        <v>1</v>
      </c>
      <c r="C1097" t="s">
        <v>16</v>
      </c>
      <c r="D1097" s="2">
        <v>0.40138888888888891</v>
      </c>
      <c r="E1097">
        <v>23145.87</v>
      </c>
      <c r="F1097" s="2">
        <v>0.40625</v>
      </c>
      <c r="G1097">
        <v>23186.37</v>
      </c>
      <c r="H1097">
        <v>23129.67</v>
      </c>
      <c r="I1097">
        <v>23186.37</v>
      </c>
      <c r="J1097" t="s">
        <v>14</v>
      </c>
      <c r="K1097">
        <v>40.51</v>
      </c>
      <c r="L1097" s="9">
        <v>2.5</v>
      </c>
      <c r="M1097">
        <v>1</v>
      </c>
      <c r="N1097">
        <v>3</v>
      </c>
    </row>
    <row r="1098" spans="1:14" x14ac:dyDescent="0.2">
      <c r="A1098" s="1">
        <v>45860</v>
      </c>
      <c r="B1098">
        <v>2</v>
      </c>
      <c r="C1098" t="s">
        <v>13</v>
      </c>
      <c r="D1098" s="2">
        <v>0.4</v>
      </c>
      <c r="E1098">
        <v>23141.22</v>
      </c>
      <c r="F1098" s="2">
        <v>0.40555555555555556</v>
      </c>
      <c r="G1098">
        <v>23100.720000000001</v>
      </c>
      <c r="H1098">
        <v>23157.42</v>
      </c>
      <c r="I1098">
        <v>23100.720000000001</v>
      </c>
      <c r="J1098" t="s">
        <v>14</v>
      </c>
      <c r="K1098">
        <v>40.5</v>
      </c>
      <c r="L1098" s="9">
        <v>2.5</v>
      </c>
      <c r="M1098">
        <v>1</v>
      </c>
      <c r="N1098">
        <v>4</v>
      </c>
    </row>
    <row r="1099" spans="1:14" x14ac:dyDescent="0.2">
      <c r="A1099" s="1">
        <v>45860</v>
      </c>
      <c r="B1099">
        <v>2</v>
      </c>
      <c r="C1099" t="s">
        <v>16</v>
      </c>
      <c r="D1099" s="2">
        <v>0.44305555555555554</v>
      </c>
      <c r="E1099">
        <v>23054.81</v>
      </c>
      <c r="F1099" s="2">
        <v>0.50208333333333333</v>
      </c>
      <c r="G1099">
        <v>23038.67</v>
      </c>
      <c r="H1099">
        <v>23038.67</v>
      </c>
      <c r="I1099">
        <v>23095.16</v>
      </c>
      <c r="J1099" t="s">
        <v>15</v>
      </c>
      <c r="K1099">
        <v>-16.14</v>
      </c>
      <c r="L1099" s="9">
        <v>-1</v>
      </c>
      <c r="M1099">
        <v>0</v>
      </c>
      <c r="N1099">
        <v>0</v>
      </c>
    </row>
    <row r="1100" spans="1:14" x14ac:dyDescent="0.2">
      <c r="A1100" s="1">
        <v>45861</v>
      </c>
      <c r="B1100">
        <v>3</v>
      </c>
      <c r="C1100" t="s">
        <v>13</v>
      </c>
      <c r="D1100" s="2">
        <v>0.40763888888888888</v>
      </c>
      <c r="E1100">
        <v>23034.81</v>
      </c>
      <c r="F1100" s="2">
        <v>0.40833333333333333</v>
      </c>
      <c r="G1100">
        <v>23050.93</v>
      </c>
      <c r="H1100">
        <v>23050.93</v>
      </c>
      <c r="I1100">
        <v>22994.5</v>
      </c>
      <c r="J1100" t="s">
        <v>15</v>
      </c>
      <c r="K1100">
        <v>-16.12</v>
      </c>
      <c r="L1100" s="9">
        <v>-1</v>
      </c>
      <c r="M1100">
        <v>0</v>
      </c>
      <c r="N1100">
        <v>2</v>
      </c>
    </row>
    <row r="1101" spans="1:14" x14ac:dyDescent="0.2">
      <c r="A1101" s="1">
        <v>45861</v>
      </c>
      <c r="B1101">
        <v>3</v>
      </c>
      <c r="C1101" t="s">
        <v>16</v>
      </c>
      <c r="D1101" s="2">
        <v>0.4548611111111111</v>
      </c>
      <c r="E1101">
        <v>23039.49</v>
      </c>
      <c r="F1101" s="2">
        <v>0.49513888888888891</v>
      </c>
      <c r="G1101">
        <v>23079.81</v>
      </c>
      <c r="H1101">
        <v>23023.360000000001</v>
      </c>
      <c r="I1101">
        <v>23079.81</v>
      </c>
      <c r="J1101" t="s">
        <v>14</v>
      </c>
      <c r="K1101">
        <v>40.32</v>
      </c>
      <c r="L1101" s="9">
        <v>2.5</v>
      </c>
      <c r="M1101">
        <v>1</v>
      </c>
      <c r="N1101">
        <v>0</v>
      </c>
    </row>
    <row r="1102" spans="1:14" x14ac:dyDescent="0.2">
      <c r="A1102" s="1">
        <v>45863</v>
      </c>
      <c r="B1102">
        <v>5</v>
      </c>
      <c r="C1102" t="s">
        <v>16</v>
      </c>
      <c r="D1102" s="2">
        <v>0.41319444444444442</v>
      </c>
      <c r="E1102">
        <v>23247.02</v>
      </c>
      <c r="F1102" s="2">
        <v>0.50624999999999998</v>
      </c>
      <c r="G1102">
        <v>23287.7</v>
      </c>
      <c r="H1102">
        <v>23230.74</v>
      </c>
      <c r="I1102">
        <v>23287.7</v>
      </c>
      <c r="J1102" t="s">
        <v>14</v>
      </c>
      <c r="K1102">
        <v>40.68</v>
      </c>
      <c r="L1102" s="9">
        <v>2.5</v>
      </c>
      <c r="M1102">
        <v>1</v>
      </c>
      <c r="N1102">
        <v>2</v>
      </c>
    </row>
    <row r="1103" spans="1:14" x14ac:dyDescent="0.2">
      <c r="A1103" s="1">
        <v>45866</v>
      </c>
      <c r="B1103">
        <v>1</v>
      </c>
      <c r="C1103" t="s">
        <v>16</v>
      </c>
      <c r="D1103" s="2">
        <v>0.40763888888888888</v>
      </c>
      <c r="E1103">
        <v>23358.82</v>
      </c>
      <c r="F1103" s="2">
        <v>0.43125000000000002</v>
      </c>
      <c r="G1103">
        <v>23342.47</v>
      </c>
      <c r="H1103">
        <v>23342.47</v>
      </c>
      <c r="I1103">
        <v>23399.7</v>
      </c>
      <c r="J1103" t="s">
        <v>15</v>
      </c>
      <c r="K1103">
        <v>-16.350000000000001</v>
      </c>
      <c r="L1103" s="9">
        <v>-1</v>
      </c>
      <c r="M1103">
        <v>0</v>
      </c>
      <c r="N1103">
        <v>0</v>
      </c>
    </row>
    <row r="1104" spans="1:14" x14ac:dyDescent="0.2">
      <c r="A1104" s="1">
        <v>45866</v>
      </c>
      <c r="B1104">
        <v>1</v>
      </c>
      <c r="C1104" t="s">
        <v>13</v>
      </c>
      <c r="D1104" s="2">
        <v>0.4548611111111111</v>
      </c>
      <c r="E1104">
        <v>23349.22</v>
      </c>
      <c r="F1104" s="2">
        <v>0.47222222222222221</v>
      </c>
      <c r="G1104">
        <v>23308.35</v>
      </c>
      <c r="H1104">
        <v>23365.56</v>
      </c>
      <c r="I1104">
        <v>23308.35</v>
      </c>
      <c r="J1104" t="s">
        <v>14</v>
      </c>
      <c r="K1104">
        <v>40.86</v>
      </c>
      <c r="L1104" s="9">
        <v>2.5</v>
      </c>
      <c r="M1104">
        <v>1</v>
      </c>
      <c r="N1104">
        <v>0</v>
      </c>
    </row>
    <row r="1105" spans="1:14" x14ac:dyDescent="0.2">
      <c r="A1105" s="1">
        <v>45867</v>
      </c>
      <c r="B1105">
        <v>2</v>
      </c>
      <c r="C1105" t="s">
        <v>16</v>
      </c>
      <c r="D1105" s="2">
        <v>0.4</v>
      </c>
      <c r="E1105">
        <v>23489.48</v>
      </c>
      <c r="F1105" s="2">
        <v>0.40694444444444444</v>
      </c>
      <c r="G1105">
        <v>23473.040000000001</v>
      </c>
      <c r="H1105">
        <v>23473.040000000001</v>
      </c>
      <c r="I1105">
        <v>23530.59</v>
      </c>
      <c r="J1105" t="s">
        <v>15</v>
      </c>
      <c r="K1105">
        <v>-16.440000000000001</v>
      </c>
      <c r="L1105" s="9">
        <v>-1</v>
      </c>
      <c r="M1105">
        <v>0</v>
      </c>
      <c r="N1105">
        <v>0</v>
      </c>
    </row>
    <row r="1106" spans="1:14" x14ac:dyDescent="0.2">
      <c r="A1106" s="1">
        <v>45867</v>
      </c>
      <c r="B1106">
        <v>2</v>
      </c>
      <c r="C1106" t="s">
        <v>13</v>
      </c>
      <c r="D1106" s="2">
        <v>0.42083333333333334</v>
      </c>
      <c r="E1106">
        <v>23430.53</v>
      </c>
      <c r="F1106" s="2">
        <v>0.42499999999999999</v>
      </c>
      <c r="G1106">
        <v>23446.93</v>
      </c>
      <c r="H1106">
        <v>23446.93</v>
      </c>
      <c r="I1106">
        <v>23389.53</v>
      </c>
      <c r="J1106" t="s">
        <v>15</v>
      </c>
      <c r="K1106">
        <v>-16.399999999999999</v>
      </c>
      <c r="L1106" s="9">
        <v>-1</v>
      </c>
      <c r="M1106">
        <v>0</v>
      </c>
      <c r="N1106">
        <v>2</v>
      </c>
    </row>
    <row r="1107" spans="1:14" x14ac:dyDescent="0.2">
      <c r="A1107" s="1">
        <v>45867</v>
      </c>
      <c r="B1107">
        <v>2</v>
      </c>
      <c r="C1107" t="s">
        <v>13</v>
      </c>
      <c r="D1107" s="2">
        <v>0.4548611111111111</v>
      </c>
      <c r="E1107">
        <v>23393.79</v>
      </c>
      <c r="F1107" s="2">
        <v>0.47361111111111109</v>
      </c>
      <c r="G1107">
        <v>23352.85</v>
      </c>
      <c r="H1107">
        <v>23410.17</v>
      </c>
      <c r="I1107">
        <v>23352.85</v>
      </c>
      <c r="J1107" t="s">
        <v>14</v>
      </c>
      <c r="K1107">
        <v>40.94</v>
      </c>
      <c r="L1107" s="9">
        <v>2.5</v>
      </c>
      <c r="M1107">
        <v>1</v>
      </c>
      <c r="N1107">
        <v>0</v>
      </c>
    </row>
    <row r="1108" spans="1:14" x14ac:dyDescent="0.2">
      <c r="A1108" s="1">
        <v>45869</v>
      </c>
      <c r="B1108">
        <v>4</v>
      </c>
      <c r="C1108" t="s">
        <v>13</v>
      </c>
      <c r="D1108" s="2">
        <v>0.39583333333333331</v>
      </c>
      <c r="E1108">
        <v>23613.21</v>
      </c>
      <c r="F1108" s="2">
        <v>0.39652777777777776</v>
      </c>
      <c r="G1108">
        <v>23571.89</v>
      </c>
      <c r="H1108">
        <v>23629.74</v>
      </c>
      <c r="I1108">
        <v>23571.89</v>
      </c>
      <c r="J1108" t="s">
        <v>14</v>
      </c>
      <c r="K1108">
        <v>41.32</v>
      </c>
      <c r="L1108" s="9">
        <v>2.5</v>
      </c>
      <c r="M1108">
        <v>1</v>
      </c>
      <c r="N1108">
        <v>2</v>
      </c>
    </row>
    <row r="1109" spans="1:14" x14ac:dyDescent="0.2">
      <c r="A1109" s="1">
        <v>45869</v>
      </c>
      <c r="B1109">
        <v>4</v>
      </c>
      <c r="C1109" t="s">
        <v>13</v>
      </c>
      <c r="D1109" s="2">
        <v>0.44305555555555554</v>
      </c>
      <c r="E1109">
        <v>23484.58</v>
      </c>
      <c r="F1109" s="2">
        <v>0.4513888888888889</v>
      </c>
      <c r="G1109">
        <v>23443.48</v>
      </c>
      <c r="H1109">
        <v>23501.02</v>
      </c>
      <c r="I1109">
        <v>23443.48</v>
      </c>
      <c r="J1109" t="s">
        <v>14</v>
      </c>
      <c r="K1109">
        <v>41.1</v>
      </c>
      <c r="L1109" s="9">
        <v>2.5</v>
      </c>
      <c r="M1109">
        <v>1</v>
      </c>
      <c r="N1109">
        <v>3</v>
      </c>
    </row>
    <row r="1110" spans="1:14" x14ac:dyDescent="0.2">
      <c r="A1110" s="1">
        <v>45873</v>
      </c>
      <c r="B1110">
        <v>1</v>
      </c>
      <c r="C1110" t="s">
        <v>16</v>
      </c>
      <c r="D1110" s="2">
        <v>0.39791666666666664</v>
      </c>
      <c r="E1110">
        <v>22986.71</v>
      </c>
      <c r="F1110" s="2">
        <v>0.39930555555555558</v>
      </c>
      <c r="G1110">
        <v>23026.94</v>
      </c>
      <c r="H1110">
        <v>22970.62</v>
      </c>
      <c r="I1110">
        <v>23026.94</v>
      </c>
      <c r="J1110" t="s">
        <v>14</v>
      </c>
      <c r="K1110">
        <v>40.229999999999997</v>
      </c>
      <c r="L1110" s="9">
        <v>2.5</v>
      </c>
      <c r="M1110">
        <v>1</v>
      </c>
      <c r="N1110">
        <v>4</v>
      </c>
    </row>
    <row r="1111" spans="1:14" x14ac:dyDescent="0.2">
      <c r="A1111" s="1">
        <v>45873</v>
      </c>
      <c r="B1111">
        <v>1</v>
      </c>
      <c r="C1111" t="s">
        <v>13</v>
      </c>
      <c r="D1111" s="2">
        <v>0.45624999999999999</v>
      </c>
      <c r="E1111">
        <v>23086.09</v>
      </c>
      <c r="F1111" s="2">
        <v>0.46041666666666664</v>
      </c>
      <c r="G1111">
        <v>23102.25</v>
      </c>
      <c r="H1111">
        <v>23102.25</v>
      </c>
      <c r="I1111">
        <v>23045.69</v>
      </c>
      <c r="J1111" t="s">
        <v>15</v>
      </c>
      <c r="K1111">
        <v>-16.16</v>
      </c>
      <c r="L1111" s="9">
        <v>-1</v>
      </c>
      <c r="M1111">
        <v>0</v>
      </c>
      <c r="N1111">
        <v>0</v>
      </c>
    </row>
    <row r="1112" spans="1:14" x14ac:dyDescent="0.2">
      <c r="A1112" s="1">
        <v>45874</v>
      </c>
      <c r="B1112">
        <v>2</v>
      </c>
      <c r="C1112" t="s">
        <v>13</v>
      </c>
      <c r="D1112" s="2">
        <v>0.42777777777777776</v>
      </c>
      <c r="E1112">
        <v>23203.26</v>
      </c>
      <c r="F1112" s="2">
        <v>0.43472222222222223</v>
      </c>
      <c r="G1112">
        <v>23162.65</v>
      </c>
      <c r="H1112">
        <v>23219.5</v>
      </c>
      <c r="I1112">
        <v>23162.65</v>
      </c>
      <c r="J1112" t="s">
        <v>14</v>
      </c>
      <c r="K1112">
        <v>40.61</v>
      </c>
      <c r="L1112" s="9">
        <v>2.5</v>
      </c>
      <c r="M1112">
        <v>1</v>
      </c>
      <c r="N1112">
        <v>0</v>
      </c>
    </row>
    <row r="1113" spans="1:14" x14ac:dyDescent="0.2">
      <c r="A1113" s="1">
        <v>45875</v>
      </c>
      <c r="B1113">
        <v>3</v>
      </c>
      <c r="C1113" t="s">
        <v>16</v>
      </c>
      <c r="D1113" s="2">
        <v>0.41458333333333336</v>
      </c>
      <c r="E1113">
        <v>23109.82</v>
      </c>
      <c r="F1113" s="2">
        <v>0.41597222222222224</v>
      </c>
      <c r="G1113">
        <v>23093.64</v>
      </c>
      <c r="H1113">
        <v>23093.64</v>
      </c>
      <c r="I1113">
        <v>23150.26</v>
      </c>
      <c r="J1113" t="s">
        <v>15</v>
      </c>
      <c r="K1113">
        <v>-16.18</v>
      </c>
      <c r="L1113" s="9">
        <v>-1</v>
      </c>
      <c r="M1113">
        <v>0</v>
      </c>
      <c r="N1113">
        <v>0</v>
      </c>
    </row>
    <row r="1114" spans="1:14" x14ac:dyDescent="0.2">
      <c r="A1114" s="1">
        <v>45875</v>
      </c>
      <c r="B1114">
        <v>3</v>
      </c>
      <c r="C1114" t="s">
        <v>13</v>
      </c>
      <c r="D1114" s="2">
        <v>0.43611111111111112</v>
      </c>
      <c r="E1114">
        <v>23069.82</v>
      </c>
      <c r="F1114" s="2">
        <v>0.43680555555555556</v>
      </c>
      <c r="G1114">
        <v>23085.97</v>
      </c>
      <c r="H1114">
        <v>23085.97</v>
      </c>
      <c r="I1114">
        <v>23029.45</v>
      </c>
      <c r="J1114" t="s">
        <v>15</v>
      </c>
      <c r="K1114">
        <v>-16.149999999999999</v>
      </c>
      <c r="L1114" s="9">
        <v>-1</v>
      </c>
      <c r="M1114">
        <v>0</v>
      </c>
      <c r="N1114">
        <v>2</v>
      </c>
    </row>
    <row r="1115" spans="1:14" x14ac:dyDescent="0.2">
      <c r="A1115" s="1">
        <v>45876</v>
      </c>
      <c r="B1115">
        <v>4</v>
      </c>
      <c r="C1115" t="s">
        <v>16</v>
      </c>
      <c r="D1115" s="2">
        <v>0.41736111111111113</v>
      </c>
      <c r="E1115">
        <v>23538.47</v>
      </c>
      <c r="F1115" s="2">
        <v>0.41805555555555557</v>
      </c>
      <c r="G1115">
        <v>23521.99</v>
      </c>
      <c r="H1115">
        <v>23521.99</v>
      </c>
      <c r="I1115">
        <v>23579.66</v>
      </c>
      <c r="J1115" t="s">
        <v>15</v>
      </c>
      <c r="K1115">
        <v>-16.48</v>
      </c>
      <c r="L1115" s="9">
        <v>-1</v>
      </c>
      <c r="M1115">
        <v>0</v>
      </c>
      <c r="N1115">
        <v>3</v>
      </c>
    </row>
    <row r="1116" spans="1:14" x14ac:dyDescent="0.2">
      <c r="A1116" s="1">
        <v>45876</v>
      </c>
      <c r="B1116">
        <v>4</v>
      </c>
      <c r="C1116" t="s">
        <v>13</v>
      </c>
      <c r="D1116" s="2">
        <v>0.43611111111111112</v>
      </c>
      <c r="E1116">
        <v>23452.75</v>
      </c>
      <c r="F1116" s="2">
        <v>0.44374999999999998</v>
      </c>
      <c r="G1116">
        <v>23469.16</v>
      </c>
      <c r="H1116">
        <v>23469.16</v>
      </c>
      <c r="I1116">
        <v>23411.7</v>
      </c>
      <c r="J1116" t="s">
        <v>15</v>
      </c>
      <c r="K1116">
        <v>-16.420000000000002</v>
      </c>
      <c r="L1116" s="9">
        <v>-1</v>
      </c>
      <c r="M1116">
        <v>0</v>
      </c>
      <c r="N1116">
        <v>4</v>
      </c>
    </row>
    <row r="1117" spans="1:14" x14ac:dyDescent="0.2">
      <c r="A1117" s="1">
        <v>45876</v>
      </c>
      <c r="B1117">
        <v>4</v>
      </c>
      <c r="C1117" t="s">
        <v>13</v>
      </c>
      <c r="D1117" s="2">
        <v>0.45624999999999999</v>
      </c>
      <c r="E1117">
        <v>23430.82</v>
      </c>
      <c r="F1117" s="2">
        <v>0.45833333333333331</v>
      </c>
      <c r="G1117">
        <v>23447.22</v>
      </c>
      <c r="H1117">
        <v>23447.22</v>
      </c>
      <c r="I1117">
        <v>23389.81</v>
      </c>
      <c r="J1117" t="s">
        <v>15</v>
      </c>
      <c r="K1117">
        <v>-16.399999999999999</v>
      </c>
      <c r="L1117" s="9">
        <v>-1</v>
      </c>
      <c r="M1117">
        <v>0</v>
      </c>
      <c r="N1117">
        <v>5</v>
      </c>
    </row>
    <row r="1118" spans="1:14" x14ac:dyDescent="0.2">
      <c r="A1118" s="1">
        <v>45877</v>
      </c>
      <c r="B1118">
        <v>5</v>
      </c>
      <c r="C1118" t="s">
        <v>16</v>
      </c>
      <c r="D1118" s="2">
        <v>0.40277777777777779</v>
      </c>
      <c r="E1118">
        <v>23468.799999999999</v>
      </c>
      <c r="F1118" s="2">
        <v>0.40486111111111112</v>
      </c>
      <c r="G1118">
        <v>23509.87</v>
      </c>
      <c r="H1118">
        <v>23452.38</v>
      </c>
      <c r="I1118">
        <v>23509.87</v>
      </c>
      <c r="J1118" t="s">
        <v>14</v>
      </c>
      <c r="K1118">
        <v>41.07</v>
      </c>
      <c r="L1118" s="9">
        <v>2.5</v>
      </c>
      <c r="M1118">
        <v>1</v>
      </c>
      <c r="N1118">
        <v>0</v>
      </c>
    </row>
    <row r="1119" spans="1:14" x14ac:dyDescent="0.2">
      <c r="A1119" s="1">
        <v>45877</v>
      </c>
      <c r="B1119">
        <v>5</v>
      </c>
      <c r="C1119" t="s">
        <v>16</v>
      </c>
      <c r="D1119" s="2">
        <v>0.43541666666666667</v>
      </c>
      <c r="E1119">
        <v>23561.18</v>
      </c>
      <c r="F1119" s="2">
        <v>0.45624999999999999</v>
      </c>
      <c r="G1119">
        <v>23544.68</v>
      </c>
      <c r="H1119">
        <v>23544.68</v>
      </c>
      <c r="I1119">
        <v>23602.41</v>
      </c>
      <c r="J1119" t="s">
        <v>15</v>
      </c>
      <c r="K1119">
        <v>-16.489999999999998</v>
      </c>
      <c r="L1119" s="9">
        <v>-1</v>
      </c>
      <c r="M1119">
        <v>0</v>
      </c>
      <c r="N1119">
        <v>0</v>
      </c>
    </row>
    <row r="1120" spans="1:14" x14ac:dyDescent="0.2">
      <c r="A1120" s="1">
        <v>45877</v>
      </c>
      <c r="B1120">
        <v>5</v>
      </c>
      <c r="C1120" t="s">
        <v>13</v>
      </c>
      <c r="D1120" s="2">
        <v>0.45763888888888887</v>
      </c>
      <c r="E1120">
        <v>23550.080000000002</v>
      </c>
      <c r="F1120" s="2">
        <v>0.46250000000000002</v>
      </c>
      <c r="G1120">
        <v>23566.560000000001</v>
      </c>
      <c r="H1120">
        <v>23566.560000000001</v>
      </c>
      <c r="I1120">
        <v>23508.86</v>
      </c>
      <c r="J1120" t="s">
        <v>15</v>
      </c>
      <c r="K1120">
        <v>-16.489999999999998</v>
      </c>
      <c r="L1120" s="9">
        <v>-1</v>
      </c>
      <c r="M1120">
        <v>0</v>
      </c>
      <c r="N1120">
        <v>2</v>
      </c>
    </row>
    <row r="1121" spans="1:14" x14ac:dyDescent="0.2">
      <c r="A1121" s="1">
        <v>45880</v>
      </c>
      <c r="B1121">
        <v>1</v>
      </c>
      <c r="C1121" t="s">
        <v>16</v>
      </c>
      <c r="D1121" s="2">
        <v>0.41041666666666665</v>
      </c>
      <c r="E1121">
        <v>23622.34</v>
      </c>
      <c r="F1121" s="2">
        <v>0.41180555555555554</v>
      </c>
      <c r="G1121">
        <v>23605.81</v>
      </c>
      <c r="H1121">
        <v>23605.81</v>
      </c>
      <c r="I1121">
        <v>23663.68</v>
      </c>
      <c r="J1121" t="s">
        <v>15</v>
      </c>
      <c r="K1121">
        <v>-16.54</v>
      </c>
      <c r="L1121" s="9">
        <v>-1</v>
      </c>
      <c r="M1121">
        <v>0</v>
      </c>
      <c r="N1121">
        <v>3</v>
      </c>
    </row>
    <row r="1122" spans="1:14" x14ac:dyDescent="0.2">
      <c r="A1122" s="1">
        <v>45881</v>
      </c>
      <c r="B1122">
        <v>2</v>
      </c>
      <c r="C1122" t="s">
        <v>16</v>
      </c>
      <c r="D1122" s="2">
        <v>0.40416666666666667</v>
      </c>
      <c r="E1122">
        <v>23688.720000000001</v>
      </c>
      <c r="F1122" s="2">
        <v>0.40555555555555556</v>
      </c>
      <c r="G1122">
        <v>23672.14</v>
      </c>
      <c r="H1122">
        <v>23672.14</v>
      </c>
      <c r="I1122">
        <v>23730.18</v>
      </c>
      <c r="J1122" t="s">
        <v>15</v>
      </c>
      <c r="K1122">
        <v>-16.579999999999998</v>
      </c>
      <c r="L1122" s="9">
        <v>-1</v>
      </c>
      <c r="M1122">
        <v>0</v>
      </c>
      <c r="N1122">
        <v>4</v>
      </c>
    </row>
    <row r="1123" spans="1:14" x14ac:dyDescent="0.2">
      <c r="A1123" s="1">
        <v>45881</v>
      </c>
      <c r="B1123">
        <v>2</v>
      </c>
      <c r="C1123" t="s">
        <v>13</v>
      </c>
      <c r="D1123" s="2">
        <v>0.41805555555555557</v>
      </c>
      <c r="E1123">
        <v>23549.31</v>
      </c>
      <c r="F1123" s="2">
        <v>0.41944444444444445</v>
      </c>
      <c r="G1123">
        <v>23565.8</v>
      </c>
      <c r="H1123">
        <v>23565.8</v>
      </c>
      <c r="I1123">
        <v>23508.1</v>
      </c>
      <c r="J1123" t="s">
        <v>15</v>
      </c>
      <c r="K1123">
        <v>-16.48</v>
      </c>
      <c r="L1123" s="9">
        <v>-1</v>
      </c>
      <c r="M1123">
        <v>0</v>
      </c>
      <c r="N1123">
        <v>5</v>
      </c>
    </row>
    <row r="1124" spans="1:14" x14ac:dyDescent="0.2">
      <c r="A1124" s="1">
        <v>45881</v>
      </c>
      <c r="B1124">
        <v>2</v>
      </c>
      <c r="C1124" t="s">
        <v>16</v>
      </c>
      <c r="D1124" s="2">
        <v>0.43333333333333335</v>
      </c>
      <c r="E1124">
        <v>23644.080000000002</v>
      </c>
      <c r="F1124" s="2">
        <v>0.45902777777777776</v>
      </c>
      <c r="G1124">
        <v>23685.45</v>
      </c>
      <c r="H1124">
        <v>23627.52</v>
      </c>
      <c r="I1124">
        <v>23685.45</v>
      </c>
      <c r="J1124" t="s">
        <v>14</v>
      </c>
      <c r="K1124">
        <v>41.38</v>
      </c>
      <c r="L1124" s="9">
        <v>2.5</v>
      </c>
      <c r="M1124">
        <v>1</v>
      </c>
      <c r="N1124">
        <v>0</v>
      </c>
    </row>
    <row r="1125" spans="1:14" x14ac:dyDescent="0.2">
      <c r="A1125" s="1">
        <v>45882</v>
      </c>
      <c r="B1125">
        <v>3</v>
      </c>
      <c r="C1125" t="s">
        <v>16</v>
      </c>
      <c r="D1125" s="2">
        <v>0.39583333333333331</v>
      </c>
      <c r="E1125">
        <v>23937.75</v>
      </c>
      <c r="F1125" s="2">
        <v>0.41319444444444442</v>
      </c>
      <c r="G1125">
        <v>23920.99</v>
      </c>
      <c r="H1125">
        <v>23920.99</v>
      </c>
      <c r="I1125">
        <v>23979.64</v>
      </c>
      <c r="J1125" t="s">
        <v>15</v>
      </c>
      <c r="K1125">
        <v>-16.760000000000002</v>
      </c>
      <c r="L1125" s="9">
        <v>-1</v>
      </c>
      <c r="M1125">
        <v>0</v>
      </c>
      <c r="N1125">
        <v>0</v>
      </c>
    </row>
    <row r="1126" spans="1:14" x14ac:dyDescent="0.2">
      <c r="A1126" s="1">
        <v>45882</v>
      </c>
      <c r="B1126">
        <v>3</v>
      </c>
      <c r="C1126" t="s">
        <v>13</v>
      </c>
      <c r="D1126" s="2">
        <v>0.41875000000000001</v>
      </c>
      <c r="E1126">
        <v>23903.68</v>
      </c>
      <c r="F1126" s="2">
        <v>0.43472222222222223</v>
      </c>
      <c r="G1126">
        <v>23861.85</v>
      </c>
      <c r="H1126">
        <v>23920.42</v>
      </c>
      <c r="I1126">
        <v>23861.85</v>
      </c>
      <c r="J1126" t="s">
        <v>14</v>
      </c>
      <c r="K1126">
        <v>41.83</v>
      </c>
      <c r="L1126" s="9">
        <v>2.5</v>
      </c>
      <c r="M1126">
        <v>1</v>
      </c>
      <c r="N1126">
        <v>0</v>
      </c>
    </row>
    <row r="1127" spans="1:14" x14ac:dyDescent="0.2">
      <c r="A1127" s="1">
        <v>45883</v>
      </c>
      <c r="B1127">
        <v>4</v>
      </c>
      <c r="C1127" t="s">
        <v>16</v>
      </c>
      <c r="D1127" s="2">
        <v>0.40208333333333335</v>
      </c>
      <c r="E1127">
        <v>23809.07</v>
      </c>
      <c r="F1127" s="2">
        <v>0.41041666666666665</v>
      </c>
      <c r="G1127">
        <v>23850.73</v>
      </c>
      <c r="H1127">
        <v>23792.400000000001</v>
      </c>
      <c r="I1127">
        <v>23850.73</v>
      </c>
      <c r="J1127" t="s">
        <v>14</v>
      </c>
      <c r="K1127">
        <v>41.67</v>
      </c>
      <c r="L1127" s="9">
        <v>2.5</v>
      </c>
      <c r="M1127">
        <v>1</v>
      </c>
      <c r="N1127">
        <v>2</v>
      </c>
    </row>
    <row r="1128" spans="1:14" x14ac:dyDescent="0.2">
      <c r="A1128" s="1">
        <v>45883</v>
      </c>
      <c r="B1128">
        <v>4</v>
      </c>
      <c r="C1128" t="s">
        <v>16</v>
      </c>
      <c r="D1128" s="2">
        <v>0.43819444444444444</v>
      </c>
      <c r="E1128">
        <v>23861.19</v>
      </c>
      <c r="F1128" s="2">
        <v>0.44930555555555557</v>
      </c>
      <c r="G1128">
        <v>23902.95</v>
      </c>
      <c r="H1128">
        <v>23844.49</v>
      </c>
      <c r="I1128">
        <v>23902.95</v>
      </c>
      <c r="J1128" t="s">
        <v>14</v>
      </c>
      <c r="K1128">
        <v>41.76</v>
      </c>
      <c r="L1128" s="9">
        <v>2.5</v>
      </c>
      <c r="M1128">
        <v>1</v>
      </c>
      <c r="N1128">
        <v>3</v>
      </c>
    </row>
    <row r="1129" spans="1:14" x14ac:dyDescent="0.2">
      <c r="A1129" s="1">
        <v>45884</v>
      </c>
      <c r="B1129">
        <v>5</v>
      </c>
      <c r="C1129" t="s">
        <v>13</v>
      </c>
      <c r="D1129" s="2">
        <v>0.40416666666666667</v>
      </c>
      <c r="E1129">
        <v>23760.49</v>
      </c>
      <c r="F1129" s="2">
        <v>0.40694444444444444</v>
      </c>
      <c r="G1129">
        <v>23718.91</v>
      </c>
      <c r="H1129">
        <v>23777.119999999999</v>
      </c>
      <c r="I1129">
        <v>23718.91</v>
      </c>
      <c r="J1129" t="s">
        <v>14</v>
      </c>
      <c r="K1129">
        <v>41.58</v>
      </c>
      <c r="L1129" s="9">
        <v>2.5</v>
      </c>
      <c r="M1129">
        <v>1</v>
      </c>
      <c r="N1129">
        <v>4</v>
      </c>
    </row>
    <row r="1130" spans="1:14" x14ac:dyDescent="0.2">
      <c r="A1130" s="1">
        <v>45884</v>
      </c>
      <c r="B1130">
        <v>5</v>
      </c>
      <c r="C1130" t="s">
        <v>16</v>
      </c>
      <c r="D1130" s="2">
        <v>0.42638888888888887</v>
      </c>
      <c r="E1130">
        <v>23771.26</v>
      </c>
      <c r="F1130" s="2">
        <v>0.43402777777777779</v>
      </c>
      <c r="G1130">
        <v>23754.62</v>
      </c>
      <c r="H1130">
        <v>23754.62</v>
      </c>
      <c r="I1130">
        <v>23812.86</v>
      </c>
      <c r="J1130" t="s">
        <v>15</v>
      </c>
      <c r="K1130">
        <v>-16.64</v>
      </c>
      <c r="L1130" s="9">
        <v>-1</v>
      </c>
      <c r="M1130">
        <v>0</v>
      </c>
      <c r="N1130">
        <v>0</v>
      </c>
    </row>
    <row r="1131" spans="1:14" x14ac:dyDescent="0.2">
      <c r="A1131" s="1">
        <v>45884</v>
      </c>
      <c r="B1131">
        <v>5</v>
      </c>
      <c r="C1131" t="s">
        <v>13</v>
      </c>
      <c r="D1131" s="2">
        <v>0.45069444444444445</v>
      </c>
      <c r="E1131">
        <v>23727.439999999999</v>
      </c>
      <c r="F1131" s="2">
        <v>0.47083333333333333</v>
      </c>
      <c r="G1131">
        <v>23744.05</v>
      </c>
      <c r="H1131">
        <v>23744.05</v>
      </c>
      <c r="I1131">
        <v>23685.919999999998</v>
      </c>
      <c r="J1131" t="s">
        <v>15</v>
      </c>
      <c r="K1131">
        <v>-16.61</v>
      </c>
      <c r="L1131" s="9">
        <v>-1</v>
      </c>
      <c r="M1131">
        <v>0</v>
      </c>
      <c r="N1131">
        <v>2</v>
      </c>
    </row>
    <row r="1132" spans="1:14" x14ac:dyDescent="0.2">
      <c r="A1132" s="1">
        <v>45887</v>
      </c>
      <c r="B1132">
        <v>1</v>
      </c>
      <c r="C1132" t="s">
        <v>16</v>
      </c>
      <c r="D1132" s="2">
        <v>0.40069444444444446</v>
      </c>
      <c r="E1132">
        <v>23713.11</v>
      </c>
      <c r="F1132" s="2">
        <v>0.40347222222222223</v>
      </c>
      <c r="G1132">
        <v>23696.51</v>
      </c>
      <c r="H1132">
        <v>23696.51</v>
      </c>
      <c r="I1132">
        <v>23754.61</v>
      </c>
      <c r="J1132" t="s">
        <v>15</v>
      </c>
      <c r="K1132">
        <v>-16.600000000000001</v>
      </c>
      <c r="L1132" s="9">
        <v>-1</v>
      </c>
      <c r="M1132">
        <v>0</v>
      </c>
      <c r="N1132">
        <v>3</v>
      </c>
    </row>
    <row r="1133" spans="1:14" x14ac:dyDescent="0.2">
      <c r="A1133" s="1">
        <v>45887</v>
      </c>
      <c r="B1133">
        <v>1</v>
      </c>
      <c r="C1133" t="s">
        <v>13</v>
      </c>
      <c r="D1133" s="2">
        <v>0.41666666666666669</v>
      </c>
      <c r="E1133">
        <v>23663.52</v>
      </c>
      <c r="F1133" s="2">
        <v>0.41875000000000001</v>
      </c>
      <c r="G1133">
        <v>23680.080000000002</v>
      </c>
      <c r="H1133">
        <v>23680.080000000002</v>
      </c>
      <c r="I1133">
        <v>23622.11</v>
      </c>
      <c r="J1133" t="s">
        <v>15</v>
      </c>
      <c r="K1133">
        <v>-16.559999999999999</v>
      </c>
      <c r="L1133" s="9">
        <v>-1</v>
      </c>
      <c r="M1133">
        <v>0</v>
      </c>
      <c r="N1133">
        <v>4</v>
      </c>
    </row>
    <row r="1134" spans="1:14" x14ac:dyDescent="0.2">
      <c r="A1134" s="1">
        <v>45887</v>
      </c>
      <c r="B1134">
        <v>1</v>
      </c>
      <c r="C1134" t="s">
        <v>16</v>
      </c>
      <c r="D1134" s="2">
        <v>0.43611111111111112</v>
      </c>
      <c r="E1134">
        <v>23720.83</v>
      </c>
      <c r="F1134" s="2">
        <v>0.43680555555555556</v>
      </c>
      <c r="G1134">
        <v>23704.22</v>
      </c>
      <c r="H1134">
        <v>23704.22</v>
      </c>
      <c r="I1134">
        <v>23762.34</v>
      </c>
      <c r="J1134" t="s">
        <v>15</v>
      </c>
      <c r="K1134">
        <v>-16.600000000000001</v>
      </c>
      <c r="L1134" s="9">
        <v>-1</v>
      </c>
      <c r="M1134">
        <v>0</v>
      </c>
      <c r="N1134">
        <v>5</v>
      </c>
    </row>
    <row r="1135" spans="1:14" x14ac:dyDescent="0.2">
      <c r="A1135" s="1">
        <v>45888</v>
      </c>
      <c r="B1135">
        <v>2</v>
      </c>
      <c r="C1135" t="s">
        <v>13</v>
      </c>
      <c r="D1135" s="2">
        <v>0.40972222222222221</v>
      </c>
      <c r="E1135">
        <v>23571.57</v>
      </c>
      <c r="F1135" s="2">
        <v>0.41180555555555554</v>
      </c>
      <c r="G1135">
        <v>23588.07</v>
      </c>
      <c r="H1135">
        <v>23588.07</v>
      </c>
      <c r="I1135">
        <v>23530.32</v>
      </c>
      <c r="J1135" t="s">
        <v>15</v>
      </c>
      <c r="K1135">
        <v>-16.5</v>
      </c>
      <c r="L1135" s="9">
        <v>-1</v>
      </c>
      <c r="M1135">
        <v>0</v>
      </c>
      <c r="N1135">
        <v>6</v>
      </c>
    </row>
    <row r="1136" spans="1:14" x14ac:dyDescent="0.2">
      <c r="A1136" s="1">
        <v>45888</v>
      </c>
      <c r="B1136">
        <v>2</v>
      </c>
      <c r="C1136" t="s">
        <v>13</v>
      </c>
      <c r="D1136" s="2">
        <v>0.43888888888888888</v>
      </c>
      <c r="E1136">
        <v>23553.06</v>
      </c>
      <c r="F1136" s="2">
        <v>0.43958333333333333</v>
      </c>
      <c r="G1136">
        <v>23569.55</v>
      </c>
      <c r="H1136">
        <v>23569.55</v>
      </c>
      <c r="I1136">
        <v>23511.84</v>
      </c>
      <c r="J1136" t="s">
        <v>15</v>
      </c>
      <c r="K1136">
        <v>-16.489999999999998</v>
      </c>
      <c r="L1136" s="9">
        <v>-1</v>
      </c>
      <c r="M1136">
        <v>0</v>
      </c>
      <c r="N1136">
        <v>7</v>
      </c>
    </row>
    <row r="1137" spans="1:14" x14ac:dyDescent="0.2">
      <c r="A1137" s="1">
        <v>45889</v>
      </c>
      <c r="B1137">
        <v>3</v>
      </c>
      <c r="C1137" t="s">
        <v>13</v>
      </c>
      <c r="D1137" s="2">
        <v>0.40902777777777777</v>
      </c>
      <c r="E1137">
        <v>23213.74</v>
      </c>
      <c r="F1137" s="2">
        <v>0.40972222222222221</v>
      </c>
      <c r="G1137">
        <v>23173.119999999999</v>
      </c>
      <c r="H1137">
        <v>23229.99</v>
      </c>
      <c r="I1137">
        <v>23173.119999999999</v>
      </c>
      <c r="J1137" t="s">
        <v>14</v>
      </c>
      <c r="K1137">
        <v>40.619999999999997</v>
      </c>
      <c r="L1137" s="9">
        <v>2.5</v>
      </c>
      <c r="M1137">
        <v>1</v>
      </c>
      <c r="N1137">
        <v>0</v>
      </c>
    </row>
    <row r="1138" spans="1:14" x14ac:dyDescent="0.2">
      <c r="A1138" s="1">
        <v>45889</v>
      </c>
      <c r="B1138">
        <v>3</v>
      </c>
      <c r="C1138" t="s">
        <v>13</v>
      </c>
      <c r="D1138" s="2">
        <v>0.44236111111111109</v>
      </c>
      <c r="E1138">
        <v>23016.880000000001</v>
      </c>
      <c r="F1138" s="2">
        <v>0.44861111111111113</v>
      </c>
      <c r="G1138">
        <v>22976.6</v>
      </c>
      <c r="H1138">
        <v>23032.99</v>
      </c>
      <c r="I1138">
        <v>22976.6</v>
      </c>
      <c r="J1138" t="s">
        <v>14</v>
      </c>
      <c r="K1138">
        <v>40.28</v>
      </c>
      <c r="L1138" s="9">
        <v>2.5</v>
      </c>
      <c r="M1138">
        <v>1</v>
      </c>
      <c r="N1138">
        <v>2</v>
      </c>
    </row>
    <row r="1139" spans="1:14" x14ac:dyDescent="0.2">
      <c r="A1139" s="1">
        <v>45891</v>
      </c>
      <c r="B1139">
        <v>5</v>
      </c>
      <c r="C1139" t="s">
        <v>16</v>
      </c>
      <c r="D1139" s="2">
        <v>0.40694444444444444</v>
      </c>
      <c r="E1139">
        <v>23238.880000000001</v>
      </c>
      <c r="F1139" s="2">
        <v>0.41388888888888886</v>
      </c>
      <c r="G1139">
        <v>23222.61</v>
      </c>
      <c r="H1139">
        <v>23222.61</v>
      </c>
      <c r="I1139">
        <v>23279.55</v>
      </c>
      <c r="J1139" t="s">
        <v>15</v>
      </c>
      <c r="K1139">
        <v>-16.27</v>
      </c>
      <c r="L1139" s="9">
        <v>-1</v>
      </c>
      <c r="M1139">
        <v>0</v>
      </c>
      <c r="N1139">
        <v>0</v>
      </c>
    </row>
    <row r="1140" spans="1:14" x14ac:dyDescent="0.2">
      <c r="A1140" s="1">
        <v>45891</v>
      </c>
      <c r="B1140">
        <v>5</v>
      </c>
      <c r="C1140" t="s">
        <v>16</v>
      </c>
      <c r="D1140" s="2">
        <v>0.42152777777777778</v>
      </c>
      <c r="E1140">
        <v>23425.200000000001</v>
      </c>
      <c r="F1140" s="2">
        <v>0.42222222222222222</v>
      </c>
      <c r="G1140">
        <v>23466.19</v>
      </c>
      <c r="H1140">
        <v>23408.799999999999</v>
      </c>
      <c r="I1140">
        <v>23466.19</v>
      </c>
      <c r="J1140" t="s">
        <v>14</v>
      </c>
      <c r="K1140">
        <v>40.99</v>
      </c>
      <c r="L1140" s="9">
        <v>2.5</v>
      </c>
      <c r="M1140">
        <v>1</v>
      </c>
      <c r="N1140">
        <v>0</v>
      </c>
    </row>
    <row r="1141" spans="1:14" x14ac:dyDescent="0.2">
      <c r="A1141" s="1">
        <v>45891</v>
      </c>
      <c r="B1141">
        <v>5</v>
      </c>
      <c r="C1141" t="s">
        <v>16</v>
      </c>
      <c r="D1141" s="2">
        <v>0.44374999999999998</v>
      </c>
      <c r="E1141">
        <v>23522.43</v>
      </c>
      <c r="F1141" s="2">
        <v>0.44861111111111113</v>
      </c>
      <c r="G1141">
        <v>23563.599999999999</v>
      </c>
      <c r="H1141">
        <v>23505.97</v>
      </c>
      <c r="I1141">
        <v>23563.599999999999</v>
      </c>
      <c r="J1141" t="s">
        <v>14</v>
      </c>
      <c r="K1141">
        <v>41.16</v>
      </c>
      <c r="L1141" s="9">
        <v>2.5</v>
      </c>
      <c r="M1141">
        <v>1</v>
      </c>
      <c r="N1141">
        <v>2</v>
      </c>
    </row>
    <row r="1142" spans="1:14" x14ac:dyDescent="0.2">
      <c r="A1142" s="1">
        <v>45894</v>
      </c>
      <c r="B1142">
        <v>1</v>
      </c>
      <c r="C1142" t="s">
        <v>16</v>
      </c>
      <c r="D1142" s="2">
        <v>0.39583333333333331</v>
      </c>
      <c r="E1142">
        <v>23427.07</v>
      </c>
      <c r="F1142" s="2">
        <v>0.39652777777777776</v>
      </c>
      <c r="G1142">
        <v>23410.67</v>
      </c>
      <c r="H1142">
        <v>23410.67</v>
      </c>
      <c r="I1142">
        <v>23468.07</v>
      </c>
      <c r="J1142" t="s">
        <v>15</v>
      </c>
      <c r="K1142">
        <v>-16.399999999999999</v>
      </c>
      <c r="L1142" s="9">
        <v>-1</v>
      </c>
      <c r="M1142">
        <v>0</v>
      </c>
      <c r="N1142">
        <v>0</v>
      </c>
    </row>
    <row r="1143" spans="1:14" x14ac:dyDescent="0.2">
      <c r="A1143" s="1">
        <v>45894</v>
      </c>
      <c r="B1143">
        <v>1</v>
      </c>
      <c r="C1143" t="s">
        <v>16</v>
      </c>
      <c r="D1143" s="2">
        <v>0.41875000000000001</v>
      </c>
      <c r="E1143">
        <v>23451.07</v>
      </c>
      <c r="F1143" s="2">
        <v>0.42777777777777776</v>
      </c>
      <c r="G1143">
        <v>23492.11</v>
      </c>
      <c r="H1143">
        <v>23434.66</v>
      </c>
      <c r="I1143">
        <v>23492.11</v>
      </c>
      <c r="J1143" t="s">
        <v>14</v>
      </c>
      <c r="K1143">
        <v>41.04</v>
      </c>
      <c r="L1143" s="9">
        <v>2.5</v>
      </c>
      <c r="M1143">
        <v>1</v>
      </c>
      <c r="N1143">
        <v>0</v>
      </c>
    </row>
    <row r="1144" spans="1:14" x14ac:dyDescent="0.2">
      <c r="A1144" s="1">
        <v>45895</v>
      </c>
      <c r="B1144">
        <v>2</v>
      </c>
      <c r="C1144" t="s">
        <v>16</v>
      </c>
      <c r="D1144" s="2">
        <v>0.4</v>
      </c>
      <c r="E1144">
        <v>23429.41</v>
      </c>
      <c r="F1144" s="2">
        <v>0.40069444444444446</v>
      </c>
      <c r="G1144">
        <v>23413.01</v>
      </c>
      <c r="H1144">
        <v>23413.01</v>
      </c>
      <c r="I1144">
        <v>23470.41</v>
      </c>
      <c r="J1144" t="s">
        <v>15</v>
      </c>
      <c r="K1144">
        <v>-16.399999999999999</v>
      </c>
      <c r="L1144" s="9">
        <v>-1</v>
      </c>
      <c r="M1144">
        <v>0</v>
      </c>
      <c r="N1144">
        <v>0</v>
      </c>
    </row>
    <row r="1145" spans="1:14" x14ac:dyDescent="0.2">
      <c r="A1145" s="1">
        <v>45895</v>
      </c>
      <c r="B1145">
        <v>2</v>
      </c>
      <c r="C1145" t="s">
        <v>16</v>
      </c>
      <c r="D1145" s="2">
        <v>0.42986111111111114</v>
      </c>
      <c r="E1145">
        <v>23449.49</v>
      </c>
      <c r="F1145" s="2">
        <v>0.48194444444444445</v>
      </c>
      <c r="G1145">
        <v>23433.08</v>
      </c>
      <c r="H1145">
        <v>23433.08</v>
      </c>
      <c r="I1145">
        <v>23490.53</v>
      </c>
      <c r="J1145" t="s">
        <v>15</v>
      </c>
      <c r="K1145">
        <v>-16.41</v>
      </c>
      <c r="L1145" s="9">
        <v>-1</v>
      </c>
      <c r="M1145">
        <v>0</v>
      </c>
      <c r="N1145">
        <v>2</v>
      </c>
    </row>
    <row r="1146" spans="1:14" x14ac:dyDescent="0.2">
      <c r="A1146" s="1">
        <v>45896</v>
      </c>
      <c r="B1146">
        <v>3</v>
      </c>
      <c r="C1146" t="s">
        <v>13</v>
      </c>
      <c r="D1146" s="2">
        <v>0.40763888888888888</v>
      </c>
      <c r="E1146">
        <v>23451.53</v>
      </c>
      <c r="F1146" s="2">
        <v>0.41249999999999998</v>
      </c>
      <c r="G1146">
        <v>23467.95</v>
      </c>
      <c r="H1146">
        <v>23467.95</v>
      </c>
      <c r="I1146">
        <v>23410.49</v>
      </c>
      <c r="J1146" t="s">
        <v>15</v>
      </c>
      <c r="K1146">
        <v>-16.420000000000002</v>
      </c>
      <c r="L1146" s="9">
        <v>-1</v>
      </c>
      <c r="M1146">
        <v>0</v>
      </c>
      <c r="N1146">
        <v>3</v>
      </c>
    </row>
    <row r="1147" spans="1:14" x14ac:dyDescent="0.2">
      <c r="A1147" s="1">
        <v>45896</v>
      </c>
      <c r="B1147">
        <v>3</v>
      </c>
      <c r="C1147" t="s">
        <v>16</v>
      </c>
      <c r="D1147" s="2">
        <v>0.42430555555555555</v>
      </c>
      <c r="E1147">
        <v>23485.7</v>
      </c>
      <c r="F1147" s="2">
        <v>0.42986111111111114</v>
      </c>
      <c r="G1147">
        <v>23526.799999999999</v>
      </c>
      <c r="H1147">
        <v>23469.26</v>
      </c>
      <c r="I1147">
        <v>23526.799999999999</v>
      </c>
      <c r="J1147" t="s">
        <v>14</v>
      </c>
      <c r="K1147">
        <v>41.1</v>
      </c>
      <c r="L1147" s="9">
        <v>2.5</v>
      </c>
      <c r="M1147">
        <v>1</v>
      </c>
      <c r="N1147">
        <v>0</v>
      </c>
    </row>
    <row r="1148" spans="1:14" x14ac:dyDescent="0.2">
      <c r="A1148" s="1">
        <v>45897</v>
      </c>
      <c r="B1148">
        <v>4</v>
      </c>
      <c r="C1148" t="s">
        <v>16</v>
      </c>
      <c r="D1148" s="2">
        <v>0.44791666666666669</v>
      </c>
      <c r="E1148">
        <v>23627.25</v>
      </c>
      <c r="F1148" s="2">
        <v>0.46666666666666667</v>
      </c>
      <c r="G1148">
        <v>23668.6</v>
      </c>
      <c r="H1148">
        <v>23610.71</v>
      </c>
      <c r="I1148">
        <v>23668.6</v>
      </c>
      <c r="J1148" t="s">
        <v>14</v>
      </c>
      <c r="K1148">
        <v>41.35</v>
      </c>
      <c r="L1148" s="9">
        <v>2.5</v>
      </c>
      <c r="M1148">
        <v>1</v>
      </c>
      <c r="N1148">
        <v>2</v>
      </c>
    </row>
    <row r="1149" spans="1:14" x14ac:dyDescent="0.2">
      <c r="A1149" s="1">
        <v>45898</v>
      </c>
      <c r="B1149">
        <v>5</v>
      </c>
      <c r="C1149" t="s">
        <v>13</v>
      </c>
      <c r="D1149" s="2">
        <v>0.40069444444444446</v>
      </c>
      <c r="E1149">
        <v>23582.93</v>
      </c>
      <c r="F1149" s="2">
        <v>0.40277777777777779</v>
      </c>
      <c r="G1149">
        <v>23541.66</v>
      </c>
      <c r="H1149">
        <v>23599.439999999999</v>
      </c>
      <c r="I1149">
        <v>23541.66</v>
      </c>
      <c r="J1149" t="s">
        <v>14</v>
      </c>
      <c r="K1149">
        <v>41.27</v>
      </c>
      <c r="L1149" s="9">
        <v>2.5</v>
      </c>
      <c r="M1149">
        <v>1</v>
      </c>
      <c r="N1149">
        <v>3</v>
      </c>
    </row>
    <row r="1150" spans="1:14" x14ac:dyDescent="0.2">
      <c r="A1150" s="1">
        <v>45898</v>
      </c>
      <c r="B1150">
        <v>5</v>
      </c>
      <c r="C1150" t="s">
        <v>16</v>
      </c>
      <c r="D1150" s="2">
        <v>0.44513888888888886</v>
      </c>
      <c r="E1150">
        <v>23448.12</v>
      </c>
      <c r="F1150" s="2">
        <v>0.4465277777777778</v>
      </c>
      <c r="G1150">
        <v>23431.71</v>
      </c>
      <c r="H1150">
        <v>23431.71</v>
      </c>
      <c r="I1150">
        <v>23489.15</v>
      </c>
      <c r="J1150" t="s">
        <v>15</v>
      </c>
      <c r="K1150">
        <v>-16.41</v>
      </c>
      <c r="L1150" s="9">
        <v>-1</v>
      </c>
      <c r="M1150">
        <v>0</v>
      </c>
      <c r="N1150">
        <v>0</v>
      </c>
    </row>
    <row r="1151" spans="1:14" x14ac:dyDescent="0.2">
      <c r="A1151" s="1">
        <v>45898</v>
      </c>
      <c r="B1151">
        <v>5</v>
      </c>
      <c r="C1151" t="s">
        <v>13</v>
      </c>
      <c r="D1151" s="2">
        <v>0.45416666666666666</v>
      </c>
      <c r="E1151">
        <v>23383.16</v>
      </c>
      <c r="F1151" s="2">
        <v>0.45555555555555555</v>
      </c>
      <c r="G1151">
        <v>23399.53</v>
      </c>
      <c r="H1151">
        <v>23399.53</v>
      </c>
      <c r="I1151">
        <v>23342.240000000002</v>
      </c>
      <c r="J1151" t="s">
        <v>15</v>
      </c>
      <c r="K1151">
        <v>-16.37</v>
      </c>
      <c r="L1151" s="9">
        <v>-1</v>
      </c>
      <c r="M1151">
        <v>0</v>
      </c>
      <c r="N1151">
        <v>2</v>
      </c>
    </row>
    <row r="1152" spans="1:14" x14ac:dyDescent="0.2">
      <c r="A1152" s="1">
        <v>45901</v>
      </c>
      <c r="B1152">
        <v>1</v>
      </c>
      <c r="C1152" t="s">
        <v>16</v>
      </c>
      <c r="D1152" s="2">
        <v>0.41249999999999998</v>
      </c>
      <c r="E1152">
        <v>23437.98</v>
      </c>
      <c r="F1152" s="2">
        <v>0.6479166666666667</v>
      </c>
      <c r="G1152">
        <v>23452.3</v>
      </c>
      <c r="H1152">
        <v>23421.57</v>
      </c>
      <c r="I1152">
        <v>23478.99</v>
      </c>
      <c r="J1152" t="s">
        <v>18</v>
      </c>
      <c r="K1152">
        <v>14.32</v>
      </c>
      <c r="L1152" s="9">
        <v>0.87311053900000002</v>
      </c>
      <c r="M1152">
        <v>0</v>
      </c>
      <c r="N1152">
        <v>3</v>
      </c>
    </row>
    <row r="1153" spans="1:14" x14ac:dyDescent="0.2">
      <c r="A1153" s="1">
        <v>45903</v>
      </c>
      <c r="B1153">
        <v>3</v>
      </c>
      <c r="C1153" t="s">
        <v>13</v>
      </c>
      <c r="D1153" s="2">
        <v>0.40208333333333335</v>
      </c>
      <c r="E1153">
        <v>23350.42</v>
      </c>
      <c r="F1153" s="2">
        <v>0.40625</v>
      </c>
      <c r="G1153">
        <v>23366.76</v>
      </c>
      <c r="H1153">
        <v>23366.76</v>
      </c>
      <c r="I1153">
        <v>23309.55</v>
      </c>
      <c r="J1153" t="s">
        <v>15</v>
      </c>
      <c r="K1153">
        <v>-16.350000000000001</v>
      </c>
      <c r="L1153" s="9">
        <v>-1</v>
      </c>
      <c r="M1153">
        <v>0</v>
      </c>
      <c r="N1153">
        <v>4</v>
      </c>
    </row>
    <row r="1154" spans="1:14" x14ac:dyDescent="0.2">
      <c r="A1154" s="1">
        <v>45903</v>
      </c>
      <c r="B1154">
        <v>3</v>
      </c>
      <c r="C1154" t="s">
        <v>16</v>
      </c>
      <c r="D1154" s="2">
        <v>0.43541666666666667</v>
      </c>
      <c r="E1154">
        <v>23413.98</v>
      </c>
      <c r="F1154" s="2">
        <v>0.43680555555555556</v>
      </c>
      <c r="G1154">
        <v>23397.59</v>
      </c>
      <c r="H1154">
        <v>23397.59</v>
      </c>
      <c r="I1154">
        <v>23454.95</v>
      </c>
      <c r="J1154" t="s">
        <v>15</v>
      </c>
      <c r="K1154">
        <v>-16.39</v>
      </c>
      <c r="L1154" s="9">
        <v>-1</v>
      </c>
      <c r="M1154">
        <v>0</v>
      </c>
      <c r="N1154">
        <v>5</v>
      </c>
    </row>
    <row r="1155" spans="1:14" x14ac:dyDescent="0.2">
      <c r="A1155" s="1">
        <v>45905</v>
      </c>
      <c r="B1155">
        <v>5</v>
      </c>
      <c r="C1155" t="s">
        <v>13</v>
      </c>
      <c r="D1155" s="2">
        <v>0.40208333333333335</v>
      </c>
      <c r="E1155">
        <v>23800.33</v>
      </c>
      <c r="F1155" s="2">
        <v>0.40347222222222223</v>
      </c>
      <c r="G1155">
        <v>23816.99</v>
      </c>
      <c r="H1155">
        <v>23816.99</v>
      </c>
      <c r="I1155">
        <v>23758.68</v>
      </c>
      <c r="J1155" t="s">
        <v>15</v>
      </c>
      <c r="K1155">
        <v>-16.66</v>
      </c>
      <c r="L1155" s="9">
        <v>-1</v>
      </c>
      <c r="M1155">
        <v>0</v>
      </c>
      <c r="N1155">
        <v>6</v>
      </c>
    </row>
    <row r="1156" spans="1:14" x14ac:dyDescent="0.2">
      <c r="A1156" s="1">
        <v>45905</v>
      </c>
      <c r="B1156">
        <v>5</v>
      </c>
      <c r="C1156" t="s">
        <v>13</v>
      </c>
      <c r="D1156" s="2">
        <v>0.4236111111111111</v>
      </c>
      <c r="E1156">
        <v>23760.43</v>
      </c>
      <c r="F1156" s="2">
        <v>0.42638888888888887</v>
      </c>
      <c r="G1156">
        <v>23718.85</v>
      </c>
      <c r="H1156">
        <v>23777.06</v>
      </c>
      <c r="I1156">
        <v>23718.85</v>
      </c>
      <c r="J1156" t="s">
        <v>14</v>
      </c>
      <c r="K1156">
        <v>41.58</v>
      </c>
      <c r="L1156" s="9">
        <v>2.5</v>
      </c>
      <c r="M1156">
        <v>1</v>
      </c>
      <c r="N1156">
        <v>0</v>
      </c>
    </row>
    <row r="1157" spans="1:14" x14ac:dyDescent="0.2">
      <c r="A1157" s="1">
        <v>45908</v>
      </c>
      <c r="B1157">
        <v>1</v>
      </c>
      <c r="C1157" t="s">
        <v>16</v>
      </c>
      <c r="D1157" s="2">
        <v>0.40138888888888891</v>
      </c>
      <c r="E1157">
        <v>23787.06</v>
      </c>
      <c r="F1157" s="2">
        <v>0.40208333333333335</v>
      </c>
      <c r="G1157">
        <v>23770.41</v>
      </c>
      <c r="H1157">
        <v>23770.41</v>
      </c>
      <c r="I1157">
        <v>23828.69</v>
      </c>
      <c r="J1157" t="s">
        <v>15</v>
      </c>
      <c r="K1157">
        <v>-16.649999999999999</v>
      </c>
      <c r="L1157" s="9">
        <v>-1</v>
      </c>
      <c r="M1157">
        <v>0</v>
      </c>
      <c r="N1157">
        <v>0</v>
      </c>
    </row>
    <row r="1158" spans="1:14" x14ac:dyDescent="0.2">
      <c r="A1158" s="1">
        <v>45908</v>
      </c>
      <c r="B1158">
        <v>1</v>
      </c>
      <c r="C1158" t="s">
        <v>16</v>
      </c>
      <c r="D1158" s="2">
        <v>0.44513888888888886</v>
      </c>
      <c r="E1158">
        <v>23834.080000000002</v>
      </c>
      <c r="F1158" s="2">
        <v>0.47083333333333333</v>
      </c>
      <c r="G1158">
        <v>23817.4</v>
      </c>
      <c r="H1158">
        <v>23817.4</v>
      </c>
      <c r="I1158">
        <v>23875.79</v>
      </c>
      <c r="J1158" t="s">
        <v>15</v>
      </c>
      <c r="K1158">
        <v>-16.68</v>
      </c>
      <c r="L1158" s="9">
        <v>-1</v>
      </c>
      <c r="M1158">
        <v>0</v>
      </c>
      <c r="N1158">
        <v>2</v>
      </c>
    </row>
    <row r="1159" spans="1:14" x14ac:dyDescent="0.2">
      <c r="A1159" s="1">
        <v>45909</v>
      </c>
      <c r="B1159">
        <v>2</v>
      </c>
      <c r="C1159" t="s">
        <v>13</v>
      </c>
      <c r="D1159" s="2">
        <v>0.41944444444444445</v>
      </c>
      <c r="E1159">
        <v>23761.599999999999</v>
      </c>
      <c r="F1159" s="2">
        <v>0.42152777777777778</v>
      </c>
      <c r="G1159">
        <v>23778.240000000002</v>
      </c>
      <c r="H1159">
        <v>23778.240000000002</v>
      </c>
      <c r="I1159">
        <v>23720.02</v>
      </c>
      <c r="J1159" t="s">
        <v>15</v>
      </c>
      <c r="K1159">
        <v>-16.63</v>
      </c>
      <c r="L1159" s="9">
        <v>-1</v>
      </c>
      <c r="M1159">
        <v>0</v>
      </c>
      <c r="N1159">
        <v>3</v>
      </c>
    </row>
    <row r="1160" spans="1:14" x14ac:dyDescent="0.2">
      <c r="A1160" s="1">
        <v>45909</v>
      </c>
      <c r="B1160">
        <v>2</v>
      </c>
      <c r="C1160" t="s">
        <v>13</v>
      </c>
      <c r="D1160" s="2">
        <v>0.44305555555555554</v>
      </c>
      <c r="E1160">
        <v>23717.73</v>
      </c>
      <c r="F1160" s="2">
        <v>0.45277777777777778</v>
      </c>
      <c r="G1160">
        <v>23734.33</v>
      </c>
      <c r="H1160">
        <v>23734.33</v>
      </c>
      <c r="I1160">
        <v>23676.23</v>
      </c>
      <c r="J1160" t="s">
        <v>15</v>
      </c>
      <c r="K1160">
        <v>-16.600000000000001</v>
      </c>
      <c r="L1160" s="9">
        <v>-1</v>
      </c>
      <c r="M1160">
        <v>0</v>
      </c>
      <c r="N1160">
        <v>4</v>
      </c>
    </row>
    <row r="1161" spans="1:14" x14ac:dyDescent="0.2">
      <c r="A1161" s="1">
        <v>45910</v>
      </c>
      <c r="B1161">
        <v>3</v>
      </c>
      <c r="C1161" t="s">
        <v>13</v>
      </c>
      <c r="D1161" s="2">
        <v>0.40486111111111112</v>
      </c>
      <c r="E1161">
        <v>23904.52</v>
      </c>
      <c r="F1161" s="2">
        <v>0.40555555555555556</v>
      </c>
      <c r="G1161">
        <v>23921.25</v>
      </c>
      <c r="H1161">
        <v>23921.25</v>
      </c>
      <c r="I1161">
        <v>23862.68</v>
      </c>
      <c r="J1161" t="s">
        <v>15</v>
      </c>
      <c r="K1161">
        <v>-16.73</v>
      </c>
      <c r="L1161" s="9">
        <v>-1</v>
      </c>
      <c r="M1161">
        <v>0</v>
      </c>
      <c r="N1161">
        <v>5</v>
      </c>
    </row>
    <row r="1162" spans="1:14" x14ac:dyDescent="0.2">
      <c r="A1162" s="1">
        <v>45910</v>
      </c>
      <c r="B1162">
        <v>3</v>
      </c>
      <c r="C1162" t="s">
        <v>16</v>
      </c>
      <c r="D1162" s="2">
        <v>0.43472222222222223</v>
      </c>
      <c r="E1162">
        <v>23944.76</v>
      </c>
      <c r="F1162" s="2">
        <v>0.43680555555555556</v>
      </c>
      <c r="G1162">
        <v>23927.99</v>
      </c>
      <c r="H1162">
        <v>23927.99</v>
      </c>
      <c r="I1162">
        <v>23986.66</v>
      </c>
      <c r="J1162" t="s">
        <v>15</v>
      </c>
      <c r="K1162">
        <v>-16.760000000000002</v>
      </c>
      <c r="L1162" s="9">
        <v>-1</v>
      </c>
      <c r="M1162">
        <v>0</v>
      </c>
      <c r="N1162">
        <v>6</v>
      </c>
    </row>
    <row r="1163" spans="1:14" x14ac:dyDescent="0.2">
      <c r="A1163" s="1">
        <v>45910</v>
      </c>
      <c r="B1163">
        <v>3</v>
      </c>
      <c r="C1163" t="s">
        <v>16</v>
      </c>
      <c r="D1163" s="2">
        <v>0.45</v>
      </c>
      <c r="E1163">
        <v>23948.84</v>
      </c>
      <c r="F1163" s="2">
        <v>0.45416666666666666</v>
      </c>
      <c r="G1163">
        <v>23932.080000000002</v>
      </c>
      <c r="H1163">
        <v>23932.080000000002</v>
      </c>
      <c r="I1163">
        <v>23990.75</v>
      </c>
      <c r="J1163" t="s">
        <v>15</v>
      </c>
      <c r="K1163">
        <v>-16.760000000000002</v>
      </c>
      <c r="L1163" s="9">
        <v>-1</v>
      </c>
      <c r="M1163">
        <v>0</v>
      </c>
      <c r="N1163">
        <v>7</v>
      </c>
    </row>
    <row r="1164" spans="1:14" x14ac:dyDescent="0.2">
      <c r="A1164" s="1">
        <v>45911</v>
      </c>
      <c r="B1164">
        <v>4</v>
      </c>
      <c r="C1164" t="s">
        <v>16</v>
      </c>
      <c r="D1164" s="2">
        <v>0.39652777777777776</v>
      </c>
      <c r="E1164">
        <v>23948.55</v>
      </c>
      <c r="F1164" s="2">
        <v>0.4</v>
      </c>
      <c r="G1164">
        <v>23931.78</v>
      </c>
      <c r="H1164">
        <v>23931.78</v>
      </c>
      <c r="I1164">
        <v>23990.46</v>
      </c>
      <c r="J1164" t="s">
        <v>15</v>
      </c>
      <c r="K1164">
        <v>-16.760000000000002</v>
      </c>
      <c r="L1164" s="9">
        <v>-1</v>
      </c>
      <c r="M1164">
        <v>0</v>
      </c>
      <c r="N1164">
        <v>8</v>
      </c>
    </row>
    <row r="1165" spans="1:14" x14ac:dyDescent="0.2">
      <c r="A1165" s="1">
        <v>45911</v>
      </c>
      <c r="B1165">
        <v>4</v>
      </c>
      <c r="C1165" t="s">
        <v>16</v>
      </c>
      <c r="D1165" s="2">
        <v>0.42291666666666666</v>
      </c>
      <c r="E1165">
        <v>23964.240000000002</v>
      </c>
      <c r="F1165" s="2">
        <v>0.4236111111111111</v>
      </c>
      <c r="G1165">
        <v>23947.46</v>
      </c>
      <c r="H1165">
        <v>23947.46</v>
      </c>
      <c r="I1165">
        <v>24006.17</v>
      </c>
      <c r="J1165" t="s">
        <v>15</v>
      </c>
      <c r="K1165">
        <v>-16.77</v>
      </c>
      <c r="L1165" s="9">
        <v>-1</v>
      </c>
      <c r="M1165">
        <v>0</v>
      </c>
      <c r="N1165">
        <v>9</v>
      </c>
    </row>
    <row r="1166" spans="1:14" x14ac:dyDescent="0.2">
      <c r="A1166" s="1">
        <v>45911</v>
      </c>
      <c r="B1166">
        <v>4</v>
      </c>
      <c r="C1166" t="s">
        <v>16</v>
      </c>
      <c r="D1166" s="2">
        <v>0.44513888888888886</v>
      </c>
      <c r="E1166">
        <v>23980.41</v>
      </c>
      <c r="F1166" s="2">
        <v>0.45208333333333334</v>
      </c>
      <c r="G1166">
        <v>23963.62</v>
      </c>
      <c r="H1166">
        <v>23963.62</v>
      </c>
      <c r="I1166">
        <v>24022.37</v>
      </c>
      <c r="J1166" t="s">
        <v>15</v>
      </c>
      <c r="K1166">
        <v>-16.79</v>
      </c>
      <c r="L1166" s="9">
        <v>-1</v>
      </c>
      <c r="M1166">
        <v>0</v>
      </c>
      <c r="N1166">
        <v>10</v>
      </c>
    </row>
    <row r="1167" spans="1:14" x14ac:dyDescent="0.2">
      <c r="A1167" s="1">
        <v>45912</v>
      </c>
      <c r="B1167">
        <v>5</v>
      </c>
      <c r="C1167" t="s">
        <v>13</v>
      </c>
      <c r="D1167" s="2">
        <v>0.40277777777777779</v>
      </c>
      <c r="E1167">
        <v>23994.95</v>
      </c>
      <c r="F1167" s="2">
        <v>0.40555555555555556</v>
      </c>
      <c r="G1167">
        <v>24011.75</v>
      </c>
      <c r="H1167">
        <v>24011.75</v>
      </c>
      <c r="I1167">
        <v>23952.959999999999</v>
      </c>
      <c r="J1167" t="s">
        <v>15</v>
      </c>
      <c r="K1167">
        <v>-16.8</v>
      </c>
      <c r="L1167" s="9">
        <v>-1</v>
      </c>
      <c r="M1167">
        <v>0</v>
      </c>
      <c r="N1167">
        <v>11</v>
      </c>
    </row>
    <row r="1168" spans="1:14" x14ac:dyDescent="0.2">
      <c r="A1168" s="1">
        <v>45912</v>
      </c>
      <c r="B1168">
        <v>5</v>
      </c>
      <c r="C1168" t="s">
        <v>16</v>
      </c>
      <c r="D1168" s="2">
        <v>0.42083333333333334</v>
      </c>
      <c r="E1168">
        <v>24028.7</v>
      </c>
      <c r="F1168" s="2">
        <v>0.42569444444444443</v>
      </c>
      <c r="G1168">
        <v>24011.88</v>
      </c>
      <c r="H1168">
        <v>24011.88</v>
      </c>
      <c r="I1168">
        <v>24070.75</v>
      </c>
      <c r="J1168" t="s">
        <v>15</v>
      </c>
      <c r="K1168">
        <v>-16.82</v>
      </c>
      <c r="L1168" s="9">
        <v>-1</v>
      </c>
      <c r="M1168">
        <v>0</v>
      </c>
      <c r="N1168">
        <v>12</v>
      </c>
    </row>
    <row r="1169" spans="1:14" x14ac:dyDescent="0.2">
      <c r="A1169" s="1">
        <v>45912</v>
      </c>
      <c r="B1169">
        <v>5</v>
      </c>
      <c r="C1169" t="s">
        <v>16</v>
      </c>
      <c r="D1169" s="2">
        <v>0.43541666666666667</v>
      </c>
      <c r="E1169">
        <v>24048.37</v>
      </c>
      <c r="F1169" s="2">
        <v>0.4548611111111111</v>
      </c>
      <c r="G1169">
        <v>24090.45</v>
      </c>
      <c r="H1169">
        <v>24031.53</v>
      </c>
      <c r="I1169">
        <v>24090.45</v>
      </c>
      <c r="J1169" t="s">
        <v>14</v>
      </c>
      <c r="K1169">
        <v>42.08</v>
      </c>
      <c r="L1169" s="9">
        <v>2.5</v>
      </c>
      <c r="M1169">
        <v>1</v>
      </c>
      <c r="N1169">
        <v>0</v>
      </c>
    </row>
    <row r="1170" spans="1:14" x14ac:dyDescent="0.2">
      <c r="A1170" s="1">
        <v>45915</v>
      </c>
      <c r="B1170">
        <v>1</v>
      </c>
      <c r="C1170" t="s">
        <v>16</v>
      </c>
      <c r="D1170" s="2">
        <v>0.39791666666666664</v>
      </c>
      <c r="E1170">
        <v>24171.93</v>
      </c>
      <c r="F1170" s="2">
        <v>0.40972222222222221</v>
      </c>
      <c r="G1170">
        <v>24214.23</v>
      </c>
      <c r="H1170">
        <v>24155.01</v>
      </c>
      <c r="I1170">
        <v>24214.23</v>
      </c>
      <c r="J1170" t="s">
        <v>14</v>
      </c>
      <c r="K1170">
        <v>42.3</v>
      </c>
      <c r="L1170" s="9">
        <v>2.5</v>
      </c>
      <c r="M1170">
        <v>1</v>
      </c>
      <c r="N1170">
        <v>2</v>
      </c>
    </row>
    <row r="1171" spans="1:14" x14ac:dyDescent="0.2">
      <c r="A1171" s="1">
        <v>45915</v>
      </c>
      <c r="B1171">
        <v>1</v>
      </c>
      <c r="C1171" t="s">
        <v>16</v>
      </c>
      <c r="D1171" s="2">
        <v>0.44791666666666669</v>
      </c>
      <c r="E1171">
        <v>24236.85</v>
      </c>
      <c r="F1171" s="2">
        <v>0.64583333333333337</v>
      </c>
      <c r="G1171">
        <v>24253.599999999999</v>
      </c>
      <c r="H1171">
        <v>24219.88</v>
      </c>
      <c r="I1171">
        <v>24279.26</v>
      </c>
      <c r="J1171" t="s">
        <v>18</v>
      </c>
      <c r="K1171">
        <v>16.75</v>
      </c>
      <c r="L1171" s="9">
        <v>0.98736179999999996</v>
      </c>
      <c r="M1171">
        <v>0</v>
      </c>
      <c r="N1171">
        <v>0</v>
      </c>
    </row>
    <row r="1172" spans="1:14" x14ac:dyDescent="0.2">
      <c r="A1172" s="1">
        <v>45916</v>
      </c>
      <c r="B1172">
        <v>2</v>
      </c>
      <c r="C1172" t="s">
        <v>13</v>
      </c>
      <c r="D1172" s="2">
        <v>0.4</v>
      </c>
      <c r="E1172">
        <v>24317.96</v>
      </c>
      <c r="F1172" s="2">
        <v>0.41041666666666665</v>
      </c>
      <c r="G1172">
        <v>24275.4</v>
      </c>
      <c r="H1172">
        <v>24334.98</v>
      </c>
      <c r="I1172">
        <v>24275.4</v>
      </c>
      <c r="J1172" t="s">
        <v>14</v>
      </c>
      <c r="K1172">
        <v>42.56</v>
      </c>
      <c r="L1172" s="9">
        <v>2.5</v>
      </c>
      <c r="M1172">
        <v>1</v>
      </c>
      <c r="N1172">
        <v>0</v>
      </c>
    </row>
    <row r="1173" spans="1:14" x14ac:dyDescent="0.2">
      <c r="A1173" s="1">
        <v>45918</v>
      </c>
      <c r="B1173">
        <v>4</v>
      </c>
      <c r="C1173" t="s">
        <v>13</v>
      </c>
      <c r="D1173" s="2">
        <v>0.40763888888888888</v>
      </c>
      <c r="E1173">
        <v>24377.27</v>
      </c>
      <c r="F1173" s="2">
        <v>0.40902777777777777</v>
      </c>
      <c r="G1173">
        <v>24394.33</v>
      </c>
      <c r="H1173">
        <v>24394.33</v>
      </c>
      <c r="I1173">
        <v>24334.61</v>
      </c>
      <c r="J1173" t="s">
        <v>15</v>
      </c>
      <c r="K1173">
        <v>-17.059999999999999</v>
      </c>
      <c r="L1173" s="9">
        <v>-1</v>
      </c>
      <c r="M1173">
        <v>0</v>
      </c>
      <c r="N1173">
        <v>0</v>
      </c>
    </row>
    <row r="1174" spans="1:14" x14ac:dyDescent="0.2">
      <c r="A1174" s="1">
        <v>45918</v>
      </c>
      <c r="B1174">
        <v>4</v>
      </c>
      <c r="C1174" t="s">
        <v>16</v>
      </c>
      <c r="D1174" s="2">
        <v>0.42430555555555555</v>
      </c>
      <c r="E1174">
        <v>24497.7</v>
      </c>
      <c r="F1174" s="2">
        <v>0.4375</v>
      </c>
      <c r="G1174">
        <v>24540.57</v>
      </c>
      <c r="H1174">
        <v>24480.55</v>
      </c>
      <c r="I1174">
        <v>24540.57</v>
      </c>
      <c r="J1174" t="s">
        <v>14</v>
      </c>
      <c r="K1174">
        <v>42.87</v>
      </c>
      <c r="L1174" s="9">
        <v>2.5</v>
      </c>
      <c r="M1174">
        <v>1</v>
      </c>
      <c r="N1174">
        <v>0</v>
      </c>
    </row>
    <row r="1175" spans="1:14" x14ac:dyDescent="0.2">
      <c r="A1175" s="1">
        <v>45918</v>
      </c>
      <c r="B1175">
        <v>4</v>
      </c>
      <c r="C1175" t="s">
        <v>13</v>
      </c>
      <c r="D1175" s="2">
        <v>0.4548611111111111</v>
      </c>
      <c r="E1175">
        <v>24506.25</v>
      </c>
      <c r="F1175" s="2">
        <v>0.46250000000000002</v>
      </c>
      <c r="G1175">
        <v>24523.41</v>
      </c>
      <c r="H1175">
        <v>24523.41</v>
      </c>
      <c r="I1175">
        <v>24463.37</v>
      </c>
      <c r="J1175" t="s">
        <v>15</v>
      </c>
      <c r="K1175">
        <v>-17.149999999999999</v>
      </c>
      <c r="L1175" s="9">
        <v>-1</v>
      </c>
      <c r="M1175">
        <v>0</v>
      </c>
      <c r="N1175">
        <v>0</v>
      </c>
    </row>
    <row r="1176" spans="1:14" x14ac:dyDescent="0.2">
      <c r="A1176" s="1">
        <v>45919</v>
      </c>
      <c r="B1176">
        <v>5</v>
      </c>
      <c r="C1176" t="s">
        <v>16</v>
      </c>
      <c r="D1176" s="2">
        <v>0.41249999999999998</v>
      </c>
      <c r="E1176">
        <v>24551.21</v>
      </c>
      <c r="F1176" s="2">
        <v>0.4236111111111111</v>
      </c>
      <c r="G1176">
        <v>24534.02</v>
      </c>
      <c r="H1176">
        <v>24534.02</v>
      </c>
      <c r="I1176">
        <v>24594.17</v>
      </c>
      <c r="J1176" t="s">
        <v>15</v>
      </c>
      <c r="K1176">
        <v>-17.190000000000001</v>
      </c>
      <c r="L1176" s="9">
        <v>-1</v>
      </c>
      <c r="M1176">
        <v>0</v>
      </c>
      <c r="N1176">
        <v>2</v>
      </c>
    </row>
    <row r="1177" spans="1:14" x14ac:dyDescent="0.2">
      <c r="A1177" s="1">
        <v>45919</v>
      </c>
      <c r="B1177">
        <v>5</v>
      </c>
      <c r="C1177" t="s">
        <v>13</v>
      </c>
      <c r="D1177" s="2">
        <v>0.44444444444444442</v>
      </c>
      <c r="E1177">
        <v>24527.16</v>
      </c>
      <c r="F1177" s="2">
        <v>0.46875</v>
      </c>
      <c r="G1177">
        <v>24484.240000000002</v>
      </c>
      <c r="H1177">
        <v>24544.33</v>
      </c>
      <c r="I1177">
        <v>24484.240000000002</v>
      </c>
      <c r="J1177" t="s">
        <v>14</v>
      </c>
      <c r="K1177">
        <v>42.92</v>
      </c>
      <c r="L1177" s="9">
        <v>2.5</v>
      </c>
      <c r="M1177">
        <v>1</v>
      </c>
      <c r="N1177">
        <v>0</v>
      </c>
    </row>
    <row r="1178" spans="1:14" x14ac:dyDescent="0.2">
      <c r="A1178" s="1">
        <v>45922</v>
      </c>
      <c r="B1178">
        <v>1</v>
      </c>
      <c r="C1178" t="s">
        <v>16</v>
      </c>
      <c r="D1178" s="2">
        <v>0.39930555555555558</v>
      </c>
      <c r="E1178">
        <v>24593.82</v>
      </c>
      <c r="F1178" s="2">
        <v>0.40347222222222223</v>
      </c>
      <c r="G1178">
        <v>24576.6</v>
      </c>
      <c r="H1178">
        <v>24576.6</v>
      </c>
      <c r="I1178">
        <v>24636.86</v>
      </c>
      <c r="J1178" t="s">
        <v>15</v>
      </c>
      <c r="K1178">
        <v>-17.22</v>
      </c>
      <c r="L1178" s="9">
        <v>-1</v>
      </c>
      <c r="M1178">
        <v>0</v>
      </c>
      <c r="N1178">
        <v>0</v>
      </c>
    </row>
    <row r="1179" spans="1:14" x14ac:dyDescent="0.2">
      <c r="A1179" s="1">
        <v>45922</v>
      </c>
      <c r="B1179">
        <v>1</v>
      </c>
      <c r="C1179" t="s">
        <v>16</v>
      </c>
      <c r="D1179" s="2">
        <v>0.43472222222222223</v>
      </c>
      <c r="E1179">
        <v>24637.81</v>
      </c>
      <c r="F1179" s="2">
        <v>0.45208333333333334</v>
      </c>
      <c r="G1179">
        <v>24680.93</v>
      </c>
      <c r="H1179">
        <v>24620.57</v>
      </c>
      <c r="I1179">
        <v>24680.93</v>
      </c>
      <c r="J1179" t="s">
        <v>14</v>
      </c>
      <c r="K1179">
        <v>43.12</v>
      </c>
      <c r="L1179" s="9">
        <v>2.5</v>
      </c>
      <c r="M1179">
        <v>1</v>
      </c>
      <c r="N1179">
        <v>0</v>
      </c>
    </row>
    <row r="1180" spans="1:14" x14ac:dyDescent="0.2">
      <c r="A1180" s="1">
        <v>45924</v>
      </c>
      <c r="B1180">
        <v>3</v>
      </c>
      <c r="C1180" t="s">
        <v>13</v>
      </c>
      <c r="D1180" s="2">
        <v>0.40208333333333335</v>
      </c>
      <c r="E1180">
        <v>24597.62</v>
      </c>
      <c r="F1180" s="2">
        <v>0.41041666666666665</v>
      </c>
      <c r="G1180">
        <v>24554.58</v>
      </c>
      <c r="H1180">
        <v>24614.84</v>
      </c>
      <c r="I1180">
        <v>24554.58</v>
      </c>
      <c r="J1180" t="s">
        <v>14</v>
      </c>
      <c r="K1180">
        <v>43.05</v>
      </c>
      <c r="L1180" s="9">
        <v>2.5</v>
      </c>
      <c r="M1180">
        <v>1</v>
      </c>
      <c r="N1180">
        <v>2</v>
      </c>
    </row>
    <row r="1181" spans="1:14" x14ac:dyDescent="0.2">
      <c r="A1181" s="1">
        <v>45924</v>
      </c>
      <c r="B1181">
        <v>3</v>
      </c>
      <c r="C1181" t="s">
        <v>13</v>
      </c>
      <c r="D1181" s="2">
        <v>0.4465277777777778</v>
      </c>
      <c r="E1181">
        <v>24561.05</v>
      </c>
      <c r="F1181" s="2">
        <v>0.44930555555555557</v>
      </c>
      <c r="G1181">
        <v>24578.240000000002</v>
      </c>
      <c r="H1181">
        <v>24578.240000000002</v>
      </c>
      <c r="I1181">
        <v>24518.06</v>
      </c>
      <c r="J1181" t="s">
        <v>15</v>
      </c>
      <c r="K1181">
        <v>-17.190000000000001</v>
      </c>
      <c r="L1181" s="9">
        <v>-1</v>
      </c>
      <c r="M1181">
        <v>0</v>
      </c>
      <c r="N1181">
        <v>0</v>
      </c>
    </row>
    <row r="1182" spans="1:14" x14ac:dyDescent="0.2">
      <c r="A1182" s="6">
        <v>45925</v>
      </c>
      <c r="B1182" s="7">
        <v>4</v>
      </c>
      <c r="C1182" s="7" t="s">
        <v>13</v>
      </c>
      <c r="D1182" s="8">
        <v>0.40625</v>
      </c>
      <c r="E1182" s="7">
        <v>24204.400000000001</v>
      </c>
      <c r="F1182" s="8">
        <v>0.40694444444444444</v>
      </c>
      <c r="G1182" s="7">
        <v>24221.34</v>
      </c>
      <c r="H1182" s="7">
        <v>24221.34</v>
      </c>
      <c r="I1182" s="7">
        <v>24162.04</v>
      </c>
      <c r="J1182" s="7" t="s">
        <v>15</v>
      </c>
      <c r="K1182" s="7">
        <v>-16.940000000000001</v>
      </c>
      <c r="L1182" s="10">
        <v>-1</v>
      </c>
      <c r="M1182" s="7">
        <v>0</v>
      </c>
      <c r="N1182" s="7">
        <v>2</v>
      </c>
    </row>
    <row r="1183" spans="1:14" x14ac:dyDescent="0.2">
      <c r="A1183" s="6">
        <v>45925</v>
      </c>
      <c r="B1183" s="7">
        <v>4</v>
      </c>
      <c r="C1183" s="7" t="s">
        <v>16</v>
      </c>
      <c r="D1183" s="8">
        <v>0.42569444444444443</v>
      </c>
      <c r="E1183" s="7">
        <v>24330.38</v>
      </c>
      <c r="F1183" s="8">
        <v>0.4284722222222222</v>
      </c>
      <c r="G1183" s="7">
        <v>24372.959999999999</v>
      </c>
      <c r="H1183" s="7">
        <v>24313.35</v>
      </c>
      <c r="I1183" s="7">
        <v>24372.959999999999</v>
      </c>
      <c r="J1183" s="7" t="s">
        <v>14</v>
      </c>
      <c r="K1183" s="7">
        <v>42.58</v>
      </c>
      <c r="L1183" s="10">
        <v>2.5</v>
      </c>
      <c r="M1183" s="7">
        <v>1</v>
      </c>
      <c r="N1183" s="7">
        <v>0</v>
      </c>
    </row>
    <row r="1184" spans="1:14" x14ac:dyDescent="0.2">
      <c r="A1184" s="3">
        <v>45926</v>
      </c>
      <c r="B1184" s="4">
        <v>5</v>
      </c>
      <c r="C1184" s="4" t="s">
        <v>13</v>
      </c>
      <c r="D1184" s="5">
        <v>0.3972222222222222</v>
      </c>
      <c r="E1184" s="4">
        <v>24418.68</v>
      </c>
      <c r="F1184" s="5">
        <v>0.39791666666666664</v>
      </c>
      <c r="G1184" s="4">
        <v>24435.78</v>
      </c>
      <c r="H1184" s="4">
        <v>24435.78</v>
      </c>
      <c r="I1184" s="4">
        <v>24375.95</v>
      </c>
      <c r="J1184" s="4" t="s">
        <v>15</v>
      </c>
      <c r="K1184" s="4">
        <v>-17.09</v>
      </c>
      <c r="L1184" s="11">
        <v>-1</v>
      </c>
      <c r="M1184" s="4">
        <v>0</v>
      </c>
      <c r="N1184" s="4">
        <v>0</v>
      </c>
    </row>
    <row r="1185" spans="1:14" x14ac:dyDescent="0.2">
      <c r="A1185" s="3">
        <v>45926</v>
      </c>
      <c r="B1185" s="4">
        <v>5</v>
      </c>
      <c r="C1185" s="4" t="s">
        <v>16</v>
      </c>
      <c r="D1185" s="5">
        <v>0.41805555555555557</v>
      </c>
      <c r="E1185" s="4">
        <v>24486.41</v>
      </c>
      <c r="F1185" s="5">
        <v>0.41875000000000001</v>
      </c>
      <c r="G1185" s="4">
        <v>24469.27</v>
      </c>
      <c r="H1185" s="4">
        <v>24469.27</v>
      </c>
      <c r="I1185" s="4">
        <v>24529.26</v>
      </c>
      <c r="J1185" s="4" t="s">
        <v>15</v>
      </c>
      <c r="K1185" s="4">
        <v>-17.14</v>
      </c>
      <c r="L1185" s="11">
        <v>-1</v>
      </c>
      <c r="M1185" s="4">
        <v>0</v>
      </c>
      <c r="N1185" s="4">
        <v>2</v>
      </c>
    </row>
    <row r="1186" spans="1:14" x14ac:dyDescent="0.2">
      <c r="A1186" s="3">
        <v>45926</v>
      </c>
      <c r="B1186" s="4">
        <v>5</v>
      </c>
      <c r="C1186" s="4" t="s">
        <v>13</v>
      </c>
      <c r="D1186" s="5">
        <v>0.42569444444444443</v>
      </c>
      <c r="E1186" s="4">
        <v>24388.76</v>
      </c>
      <c r="F1186" s="5">
        <v>0.43333333333333335</v>
      </c>
      <c r="G1186" s="4">
        <v>24346.07</v>
      </c>
      <c r="H1186" s="4">
        <v>24405.83</v>
      </c>
      <c r="I1186" s="4">
        <v>24346.07</v>
      </c>
      <c r="J1186" s="4" t="s">
        <v>14</v>
      </c>
      <c r="K1186" s="4">
        <v>42.68</v>
      </c>
      <c r="L1186" s="11">
        <v>2.5</v>
      </c>
      <c r="M1186" s="4">
        <v>1</v>
      </c>
      <c r="N1186" s="4">
        <v>0</v>
      </c>
    </row>
    <row r="1187" spans="1:14" x14ac:dyDescent="0.2">
      <c r="A1187" s="1">
        <v>45929</v>
      </c>
      <c r="B1187">
        <v>1</v>
      </c>
      <c r="C1187" t="s">
        <v>13</v>
      </c>
      <c r="D1187" s="2">
        <v>11</v>
      </c>
      <c r="E1187">
        <v>24638.31</v>
      </c>
      <c r="F1187" s="2">
        <v>0.3972222222222222</v>
      </c>
      <c r="G1187">
        <v>24655.56</v>
      </c>
      <c r="H1187">
        <v>24655.56</v>
      </c>
      <c r="I1187">
        <v>24595.19</v>
      </c>
      <c r="J1187" t="s">
        <v>15</v>
      </c>
      <c r="K1187">
        <v>-17.25</v>
      </c>
      <c r="L1187" s="9">
        <v>-1</v>
      </c>
      <c r="M1187">
        <v>0</v>
      </c>
      <c r="N1187">
        <v>0</v>
      </c>
    </row>
    <row r="1188" spans="1:14" x14ac:dyDescent="0.2">
      <c r="A1188" s="1">
        <v>45929</v>
      </c>
      <c r="B1188">
        <v>1</v>
      </c>
      <c r="C1188" t="s">
        <v>16</v>
      </c>
      <c r="D1188" s="2">
        <v>0.41041666666666665</v>
      </c>
      <c r="E1188">
        <v>24711.35</v>
      </c>
      <c r="F1188" s="2">
        <v>0.43055555555555558</v>
      </c>
      <c r="G1188">
        <v>24694.05</v>
      </c>
      <c r="H1188">
        <v>24694.05</v>
      </c>
      <c r="I1188">
        <v>24754.6</v>
      </c>
      <c r="J1188" t="s">
        <v>15</v>
      </c>
      <c r="K1188">
        <v>-17.3</v>
      </c>
      <c r="L1188" s="9">
        <v>-1</v>
      </c>
      <c r="M1188">
        <v>0</v>
      </c>
      <c r="N1188">
        <v>2</v>
      </c>
    </row>
    <row r="1189" spans="1:14" x14ac:dyDescent="0.2">
      <c r="A1189" s="1">
        <v>45930</v>
      </c>
      <c r="B1189">
        <v>2</v>
      </c>
      <c r="C1189" t="s">
        <v>13</v>
      </c>
      <c r="D1189" s="2">
        <v>0.4</v>
      </c>
      <c r="E1189">
        <v>24553.79</v>
      </c>
      <c r="F1189" s="2">
        <v>0.40555555555555556</v>
      </c>
      <c r="G1189">
        <v>24570.98</v>
      </c>
      <c r="H1189">
        <v>24570.98</v>
      </c>
      <c r="I1189">
        <v>24510.82</v>
      </c>
      <c r="J1189" t="s">
        <v>15</v>
      </c>
      <c r="K1189">
        <v>-17.190000000000001</v>
      </c>
      <c r="L1189" s="9">
        <v>-1</v>
      </c>
      <c r="M1189">
        <v>0</v>
      </c>
      <c r="N1189">
        <v>3</v>
      </c>
    </row>
    <row r="1190" spans="1:14" x14ac:dyDescent="0.2">
      <c r="A1190" s="1">
        <v>45930</v>
      </c>
      <c r="B1190">
        <v>2</v>
      </c>
      <c r="C1190" t="s">
        <v>16</v>
      </c>
      <c r="D1190" s="2">
        <v>0.45347222222222222</v>
      </c>
      <c r="E1190">
        <v>24599.03</v>
      </c>
      <c r="F1190" s="2">
        <v>0.47152777777777777</v>
      </c>
      <c r="G1190">
        <v>24581.81</v>
      </c>
      <c r="H1190">
        <v>24581.81</v>
      </c>
      <c r="I1190">
        <v>24642.080000000002</v>
      </c>
      <c r="J1190" t="s">
        <v>15</v>
      </c>
      <c r="K1190">
        <v>-17.22</v>
      </c>
      <c r="L1190" s="9">
        <v>-1</v>
      </c>
      <c r="M1190">
        <v>0</v>
      </c>
      <c r="N1190">
        <v>4</v>
      </c>
    </row>
    <row r="1191" spans="1:14" s="4" customFormat="1" x14ac:dyDescent="0.2">
      <c r="A1191" s="6">
        <v>45932</v>
      </c>
      <c r="B1191" s="7">
        <v>4</v>
      </c>
      <c r="C1191" s="7" t="s">
        <v>13</v>
      </c>
      <c r="D1191" s="8">
        <v>0.4</v>
      </c>
      <c r="E1191" s="7">
        <v>24915.040000000001</v>
      </c>
      <c r="F1191" s="8">
        <v>0.40138888888888891</v>
      </c>
      <c r="G1191" s="7">
        <v>24871.439999999999</v>
      </c>
      <c r="H1191" s="7">
        <v>24932.48</v>
      </c>
      <c r="I1191" s="7">
        <v>24871.439999999999</v>
      </c>
      <c r="J1191" s="7" t="s">
        <v>14</v>
      </c>
      <c r="K1191" s="7">
        <v>43.6</v>
      </c>
      <c r="L1191" s="10">
        <v>2.5</v>
      </c>
      <c r="M1191" s="7">
        <v>1</v>
      </c>
      <c r="N1191" s="7">
        <v>0</v>
      </c>
    </row>
    <row r="1192" spans="1:14" x14ac:dyDescent="0.2">
      <c r="A1192" s="6">
        <v>45932</v>
      </c>
      <c r="B1192" s="7">
        <v>4</v>
      </c>
      <c r="C1192" s="7" t="s">
        <v>16</v>
      </c>
      <c r="D1192" s="8">
        <v>0.43611111111111112</v>
      </c>
      <c r="E1192" s="7">
        <v>24865.37</v>
      </c>
      <c r="F1192" s="8">
        <v>0.43958333333333333</v>
      </c>
      <c r="G1192" s="7">
        <v>24847.97</v>
      </c>
      <c r="H1192" s="7">
        <v>24847.97</v>
      </c>
      <c r="I1192" s="7">
        <v>24908.89</v>
      </c>
      <c r="J1192" s="7" t="s">
        <v>15</v>
      </c>
      <c r="K1192" s="7">
        <v>-17.41</v>
      </c>
      <c r="L1192" s="10">
        <v>-1</v>
      </c>
      <c r="M1192" s="7">
        <v>0</v>
      </c>
      <c r="N1192" s="7">
        <v>0</v>
      </c>
    </row>
    <row r="1193" spans="1:14" x14ac:dyDescent="0.2">
      <c r="A1193" s="6">
        <v>45932</v>
      </c>
      <c r="B1193" s="7">
        <v>4</v>
      </c>
      <c r="C1193" s="7" t="s">
        <v>13</v>
      </c>
      <c r="D1193" s="8">
        <v>0.45624999999999999</v>
      </c>
      <c r="E1193" s="7">
        <v>24815.51</v>
      </c>
      <c r="F1193" s="8">
        <v>0.46527777777777779</v>
      </c>
      <c r="G1193" s="7">
        <v>24832.89</v>
      </c>
      <c r="H1193" s="7">
        <v>24832.89</v>
      </c>
      <c r="I1193" s="7">
        <v>24772.09</v>
      </c>
      <c r="J1193" s="7" t="s">
        <v>15</v>
      </c>
      <c r="K1193" s="7">
        <v>-17.37</v>
      </c>
      <c r="L1193" s="10">
        <v>-1</v>
      </c>
      <c r="M1193" s="7">
        <v>0</v>
      </c>
      <c r="N1193" s="7">
        <v>2</v>
      </c>
    </row>
    <row r="1194" spans="1:14" x14ac:dyDescent="0.2">
      <c r="A1194" s="1">
        <v>45933</v>
      </c>
      <c r="B1194">
        <v>5</v>
      </c>
      <c r="C1194" t="s">
        <v>16</v>
      </c>
      <c r="D1194" s="2">
        <v>0.40347222222222223</v>
      </c>
      <c r="E1194">
        <v>24940</v>
      </c>
      <c r="F1194" s="2">
        <v>0.40416666666666667</v>
      </c>
      <c r="G1194">
        <v>24922.54</v>
      </c>
      <c r="H1194">
        <v>24922.54</v>
      </c>
      <c r="I1194">
        <v>24983.64</v>
      </c>
      <c r="J1194" t="s">
        <v>15</v>
      </c>
      <c r="K1194">
        <v>-17.46</v>
      </c>
      <c r="L1194" s="9">
        <v>-1</v>
      </c>
      <c r="M1194">
        <v>0</v>
      </c>
      <c r="N1194">
        <v>3</v>
      </c>
    </row>
    <row r="1195" spans="1:14" x14ac:dyDescent="0.2">
      <c r="A1195" s="1">
        <v>45933</v>
      </c>
      <c r="B1195">
        <v>5</v>
      </c>
      <c r="C1195" t="s">
        <v>16</v>
      </c>
      <c r="D1195" s="2">
        <v>0.41249999999999998</v>
      </c>
      <c r="E1195">
        <v>24943.13</v>
      </c>
      <c r="F1195" s="2">
        <v>0.41319444444444442</v>
      </c>
      <c r="G1195">
        <v>24925.67</v>
      </c>
      <c r="H1195">
        <v>24925.67</v>
      </c>
      <c r="I1195">
        <v>24986.78</v>
      </c>
      <c r="J1195" t="s">
        <v>15</v>
      </c>
      <c r="K1195">
        <v>-17.46</v>
      </c>
      <c r="L1195" s="9">
        <v>-1</v>
      </c>
      <c r="M1195">
        <v>0</v>
      </c>
      <c r="N1195">
        <v>4</v>
      </c>
    </row>
    <row r="1196" spans="1:14" x14ac:dyDescent="0.2">
      <c r="A1196" s="1">
        <v>45933</v>
      </c>
      <c r="B1196">
        <v>5</v>
      </c>
      <c r="C1196" t="s">
        <v>13</v>
      </c>
      <c r="D1196" s="2">
        <v>0.41944444444444445</v>
      </c>
      <c r="E1196">
        <v>24876.21</v>
      </c>
      <c r="F1196" s="2">
        <v>0.43472222222222223</v>
      </c>
      <c r="G1196">
        <v>24893.62</v>
      </c>
      <c r="H1196">
        <v>24893.62</v>
      </c>
      <c r="I1196">
        <v>24832.67</v>
      </c>
      <c r="J1196" t="s">
        <v>15</v>
      </c>
      <c r="K1196">
        <v>-17.41</v>
      </c>
      <c r="L1196" s="9">
        <v>-1</v>
      </c>
      <c r="M1196">
        <v>0</v>
      </c>
      <c r="N1196">
        <v>5</v>
      </c>
    </row>
    <row r="1197" spans="1:14" x14ac:dyDescent="0.2">
      <c r="A1197" s="1">
        <v>45936</v>
      </c>
      <c r="B1197">
        <v>1</v>
      </c>
      <c r="C1197" t="s">
        <v>16</v>
      </c>
      <c r="D1197" s="2">
        <v>0.39583333333333331</v>
      </c>
      <c r="E1197">
        <v>24999.759999999998</v>
      </c>
      <c r="F1197" s="2">
        <v>0.39652777777777776</v>
      </c>
      <c r="G1197">
        <v>24982.26</v>
      </c>
      <c r="H1197">
        <v>24982.26</v>
      </c>
      <c r="I1197">
        <v>25043.51</v>
      </c>
      <c r="J1197" t="s">
        <v>15</v>
      </c>
      <c r="K1197">
        <v>-17.5</v>
      </c>
      <c r="L1197" s="9">
        <v>-1</v>
      </c>
      <c r="M1197">
        <v>0</v>
      </c>
      <c r="N1197">
        <v>6</v>
      </c>
    </row>
    <row r="1198" spans="1:14" x14ac:dyDescent="0.2">
      <c r="A1198" s="1">
        <v>45936</v>
      </c>
      <c r="B1198">
        <v>1</v>
      </c>
      <c r="C1198" t="s">
        <v>13</v>
      </c>
      <c r="D1198" s="2">
        <v>0.40486111111111112</v>
      </c>
      <c r="E1198">
        <v>24952.02</v>
      </c>
      <c r="F1198" s="2">
        <v>0.41944444444444445</v>
      </c>
      <c r="G1198">
        <v>24969.49</v>
      </c>
      <c r="H1198">
        <v>24969.49</v>
      </c>
      <c r="I1198">
        <v>24908.36</v>
      </c>
      <c r="J1198" t="s">
        <v>15</v>
      </c>
      <c r="K1198">
        <v>-17.47</v>
      </c>
      <c r="L1198" s="9">
        <v>-1</v>
      </c>
      <c r="M1198">
        <v>0</v>
      </c>
      <c r="N1198">
        <v>7</v>
      </c>
    </row>
    <row r="1199" spans="1:14" x14ac:dyDescent="0.2">
      <c r="A1199" s="1">
        <v>45936</v>
      </c>
      <c r="B1199">
        <v>1</v>
      </c>
      <c r="C1199" t="s">
        <v>13</v>
      </c>
      <c r="D1199" s="2">
        <v>0.44305555555555554</v>
      </c>
      <c r="E1199">
        <v>24925.78</v>
      </c>
      <c r="F1199" s="2">
        <v>0.45</v>
      </c>
      <c r="G1199">
        <v>24943.23</v>
      </c>
      <c r="H1199">
        <v>24943.23</v>
      </c>
      <c r="I1199">
        <v>24882.16</v>
      </c>
      <c r="J1199" t="s">
        <v>15</v>
      </c>
      <c r="K1199">
        <v>-17.45</v>
      </c>
      <c r="L1199" s="9">
        <v>-1</v>
      </c>
      <c r="M1199">
        <v>0</v>
      </c>
      <c r="N1199">
        <v>8</v>
      </c>
    </row>
    <row r="1200" spans="1:14" x14ac:dyDescent="0.2">
      <c r="A1200" s="1">
        <v>45937</v>
      </c>
      <c r="B1200">
        <v>2</v>
      </c>
      <c r="C1200" t="s">
        <v>13</v>
      </c>
      <c r="D1200" s="2">
        <v>0.43819444444444444</v>
      </c>
      <c r="E1200">
        <v>25009.72</v>
      </c>
      <c r="F1200" s="2">
        <v>0.45555555555555555</v>
      </c>
      <c r="G1200">
        <v>24965.96</v>
      </c>
      <c r="H1200">
        <v>25027.23</v>
      </c>
      <c r="I1200">
        <v>24965.96</v>
      </c>
      <c r="J1200" t="s">
        <v>14</v>
      </c>
      <c r="K1200">
        <v>43.77</v>
      </c>
      <c r="L1200" s="9">
        <v>2.5</v>
      </c>
      <c r="M1200">
        <v>1</v>
      </c>
      <c r="N1200">
        <v>0</v>
      </c>
    </row>
    <row r="1201" spans="1:14" x14ac:dyDescent="0.2">
      <c r="A1201" s="1">
        <v>45938</v>
      </c>
      <c r="B1201">
        <v>3</v>
      </c>
      <c r="C1201" t="s">
        <v>16</v>
      </c>
      <c r="D1201" s="2">
        <v>0.39930555555555558</v>
      </c>
      <c r="E1201">
        <v>24914.79</v>
      </c>
      <c r="F1201" s="2">
        <v>0.40833333333333333</v>
      </c>
      <c r="G1201">
        <v>24958.39</v>
      </c>
      <c r="H1201">
        <v>24897.35</v>
      </c>
      <c r="I1201">
        <v>24958.39</v>
      </c>
      <c r="J1201" t="s">
        <v>14</v>
      </c>
      <c r="K1201">
        <v>43.6</v>
      </c>
      <c r="L1201" s="9">
        <v>2.5</v>
      </c>
      <c r="M1201">
        <v>1</v>
      </c>
      <c r="N1201">
        <v>2</v>
      </c>
    </row>
    <row r="1202" spans="1:14" x14ac:dyDescent="0.2">
      <c r="A1202" s="1">
        <v>45938</v>
      </c>
      <c r="B1202">
        <v>3</v>
      </c>
      <c r="C1202" t="s">
        <v>13</v>
      </c>
      <c r="D1202" s="2">
        <v>0.45416666666666666</v>
      </c>
      <c r="E1202">
        <v>24978.01</v>
      </c>
      <c r="F1202" s="2">
        <v>0.45833333333333331</v>
      </c>
      <c r="G1202">
        <v>24995.49</v>
      </c>
      <c r="H1202">
        <v>24995.49</v>
      </c>
      <c r="I1202">
        <v>24934.3</v>
      </c>
      <c r="J1202" t="s">
        <v>15</v>
      </c>
      <c r="K1202">
        <v>-17.48</v>
      </c>
      <c r="L1202" s="9">
        <v>-1</v>
      </c>
      <c r="M1202">
        <v>0</v>
      </c>
      <c r="N1202">
        <v>0</v>
      </c>
    </row>
    <row r="1203" spans="1:14" x14ac:dyDescent="0.2">
      <c r="A1203" s="1">
        <v>45939</v>
      </c>
      <c r="B1203">
        <v>4</v>
      </c>
      <c r="C1203" t="s">
        <v>13</v>
      </c>
      <c r="D1203" s="2">
        <v>0.40555555555555556</v>
      </c>
      <c r="E1203">
        <v>25077.34</v>
      </c>
      <c r="F1203" s="2">
        <v>0.40902777777777777</v>
      </c>
      <c r="G1203">
        <v>25094.9</v>
      </c>
      <c r="H1203">
        <v>25094.9</v>
      </c>
      <c r="I1203">
        <v>25033.46</v>
      </c>
      <c r="J1203" t="s">
        <v>15</v>
      </c>
      <c r="K1203">
        <v>-17.55</v>
      </c>
      <c r="L1203" s="9">
        <v>-1</v>
      </c>
      <c r="M1203">
        <v>0</v>
      </c>
      <c r="N1203">
        <v>2</v>
      </c>
    </row>
    <row r="1204" spans="1:14" x14ac:dyDescent="0.2">
      <c r="A1204" s="1">
        <v>45939</v>
      </c>
      <c r="B1204">
        <v>4</v>
      </c>
      <c r="C1204" t="s">
        <v>13</v>
      </c>
      <c r="D1204" s="2">
        <v>0.43958333333333333</v>
      </c>
      <c r="E1204">
        <v>25042.98</v>
      </c>
      <c r="F1204" s="2">
        <v>0.44791666666666669</v>
      </c>
      <c r="G1204">
        <v>24999.15</v>
      </c>
      <c r="H1204">
        <v>25060.51</v>
      </c>
      <c r="I1204">
        <v>24999.15</v>
      </c>
      <c r="J1204" t="s">
        <v>14</v>
      </c>
      <c r="K1204">
        <v>43.83</v>
      </c>
      <c r="L1204" s="9">
        <v>2.5</v>
      </c>
      <c r="M1204">
        <v>1</v>
      </c>
      <c r="N1204">
        <v>0</v>
      </c>
    </row>
    <row r="1205" spans="1:14" x14ac:dyDescent="0.2">
      <c r="A1205" s="1">
        <v>45943</v>
      </c>
      <c r="B1205">
        <v>1</v>
      </c>
      <c r="C1205" t="s">
        <v>13</v>
      </c>
      <c r="D1205" s="2">
        <v>0.40138888888888891</v>
      </c>
      <c r="E1205">
        <v>24582.42</v>
      </c>
      <c r="F1205" s="2">
        <v>0.40416666666666667</v>
      </c>
      <c r="G1205">
        <v>24599.63</v>
      </c>
      <c r="H1205">
        <v>24599.63</v>
      </c>
      <c r="I1205">
        <v>24539.4</v>
      </c>
      <c r="J1205" t="s">
        <v>15</v>
      </c>
      <c r="K1205">
        <v>-17.21</v>
      </c>
      <c r="L1205" s="9">
        <v>-1</v>
      </c>
      <c r="M1205">
        <v>0</v>
      </c>
      <c r="N1205">
        <v>0</v>
      </c>
    </row>
    <row r="1206" spans="1:14" x14ac:dyDescent="0.2">
      <c r="A1206" s="1">
        <v>45943</v>
      </c>
      <c r="B1206">
        <v>1</v>
      </c>
      <c r="C1206" t="s">
        <v>16</v>
      </c>
      <c r="D1206" s="2">
        <v>0.41805555555555557</v>
      </c>
      <c r="E1206">
        <v>24706.86</v>
      </c>
      <c r="F1206" s="2">
        <v>0.41875000000000001</v>
      </c>
      <c r="G1206">
        <v>24689.56</v>
      </c>
      <c r="H1206">
        <v>24689.56</v>
      </c>
      <c r="I1206">
        <v>24750.1</v>
      </c>
      <c r="J1206" t="s">
        <v>15</v>
      </c>
      <c r="K1206">
        <v>-17.29</v>
      </c>
      <c r="L1206" s="9">
        <v>-1</v>
      </c>
      <c r="M1206">
        <v>0</v>
      </c>
      <c r="N1206">
        <v>2</v>
      </c>
    </row>
    <row r="1207" spans="1:14" x14ac:dyDescent="0.2">
      <c r="A1207" s="1">
        <v>45943</v>
      </c>
      <c r="B1207">
        <v>1</v>
      </c>
      <c r="C1207" t="s">
        <v>13</v>
      </c>
      <c r="D1207" s="2">
        <v>0.45347222222222222</v>
      </c>
      <c r="E1207">
        <v>24613.360000000001</v>
      </c>
      <c r="F1207" s="2">
        <v>0.45624999999999999</v>
      </c>
      <c r="G1207">
        <v>24570.29</v>
      </c>
      <c r="H1207">
        <v>24630.59</v>
      </c>
      <c r="I1207">
        <v>24570.29</v>
      </c>
      <c r="J1207" t="s">
        <v>14</v>
      </c>
      <c r="K1207">
        <v>43.07</v>
      </c>
      <c r="L1207" s="9">
        <v>2.5</v>
      </c>
      <c r="M1207">
        <v>1</v>
      </c>
      <c r="N1207">
        <v>0</v>
      </c>
    </row>
    <row r="1208" spans="1:14" x14ac:dyDescent="0.2">
      <c r="A1208" s="1">
        <v>45944</v>
      </c>
      <c r="B1208">
        <v>2</v>
      </c>
      <c r="C1208" t="s">
        <v>13</v>
      </c>
      <c r="D1208" s="2">
        <v>0.40208333333333335</v>
      </c>
      <c r="E1208">
        <v>24342.14</v>
      </c>
      <c r="F1208" s="2">
        <v>0.40416666666666667</v>
      </c>
      <c r="G1208">
        <v>24299.55</v>
      </c>
      <c r="H1208">
        <v>24359.18</v>
      </c>
      <c r="I1208">
        <v>24299.55</v>
      </c>
      <c r="J1208" t="s">
        <v>14</v>
      </c>
      <c r="K1208">
        <v>42.6</v>
      </c>
      <c r="L1208" s="9">
        <v>2.5</v>
      </c>
      <c r="M1208">
        <v>1</v>
      </c>
      <c r="N1208">
        <v>2</v>
      </c>
    </row>
    <row r="1209" spans="1:14" x14ac:dyDescent="0.2">
      <c r="A1209" s="1">
        <v>45944</v>
      </c>
      <c r="B1209">
        <v>2</v>
      </c>
      <c r="C1209" t="s">
        <v>16</v>
      </c>
      <c r="D1209" s="2">
        <v>0.42222222222222222</v>
      </c>
      <c r="E1209">
        <v>24428.34</v>
      </c>
      <c r="F1209" s="2">
        <v>0.42291666666666666</v>
      </c>
      <c r="G1209">
        <v>24411.24</v>
      </c>
      <c r="H1209">
        <v>24411.24</v>
      </c>
      <c r="I1209">
        <v>24471.09</v>
      </c>
      <c r="J1209" t="s">
        <v>15</v>
      </c>
      <c r="K1209">
        <v>-17.100000000000001</v>
      </c>
      <c r="L1209" s="9">
        <v>-1</v>
      </c>
      <c r="M1209">
        <v>0</v>
      </c>
      <c r="N1209">
        <v>0</v>
      </c>
    </row>
    <row r="1210" spans="1:14" x14ac:dyDescent="0.2">
      <c r="A1210" s="1">
        <v>45945</v>
      </c>
      <c r="B1210">
        <v>3</v>
      </c>
      <c r="C1210" t="s">
        <v>13</v>
      </c>
      <c r="D1210" s="2">
        <v>0.39861111111111114</v>
      </c>
      <c r="E1210">
        <v>24799.64</v>
      </c>
      <c r="F1210" s="2">
        <v>0.40069444444444446</v>
      </c>
      <c r="G1210">
        <v>24817</v>
      </c>
      <c r="H1210">
        <v>24817</v>
      </c>
      <c r="I1210">
        <v>24756.240000000002</v>
      </c>
      <c r="J1210" t="s">
        <v>15</v>
      </c>
      <c r="K1210">
        <v>-17.36</v>
      </c>
      <c r="L1210" s="9">
        <v>-1</v>
      </c>
      <c r="M1210">
        <v>0</v>
      </c>
      <c r="N1210">
        <v>2</v>
      </c>
    </row>
    <row r="1211" spans="1:14" x14ac:dyDescent="0.2">
      <c r="A1211" s="1">
        <v>45945</v>
      </c>
      <c r="B1211">
        <v>3</v>
      </c>
      <c r="C1211" t="s">
        <v>16</v>
      </c>
      <c r="D1211" s="2">
        <v>0.42430555555555555</v>
      </c>
      <c r="E1211">
        <v>24912.26</v>
      </c>
      <c r="F1211" s="2">
        <v>0.46597222222222223</v>
      </c>
      <c r="G1211">
        <v>24894.82</v>
      </c>
      <c r="H1211">
        <v>24894.82</v>
      </c>
      <c r="I1211">
        <v>24955.86</v>
      </c>
      <c r="J1211" t="s">
        <v>15</v>
      </c>
      <c r="K1211">
        <v>-17.440000000000001</v>
      </c>
      <c r="L1211" s="9">
        <v>-1</v>
      </c>
      <c r="M1211">
        <v>0</v>
      </c>
      <c r="N1211">
        <v>3</v>
      </c>
    </row>
    <row r="1212" spans="1:14" x14ac:dyDescent="0.2">
      <c r="A1212" s="1">
        <v>45946</v>
      </c>
      <c r="B1212">
        <v>4</v>
      </c>
      <c r="C1212" t="s">
        <v>13</v>
      </c>
      <c r="D1212" s="2">
        <v>0.39583333333333331</v>
      </c>
      <c r="E1212">
        <v>24880.58</v>
      </c>
      <c r="F1212" s="2">
        <v>0.39652777777777776</v>
      </c>
      <c r="G1212">
        <v>24898</v>
      </c>
      <c r="H1212">
        <v>24898</v>
      </c>
      <c r="I1212">
        <v>24837.040000000001</v>
      </c>
      <c r="J1212" t="s">
        <v>15</v>
      </c>
      <c r="K1212">
        <v>-17.420000000000002</v>
      </c>
      <c r="L1212" s="9">
        <v>-1</v>
      </c>
      <c r="M1212">
        <v>0</v>
      </c>
      <c r="N1212">
        <v>4</v>
      </c>
    </row>
    <row r="1213" spans="1:14" x14ac:dyDescent="0.2">
      <c r="A1213" s="1">
        <v>45946</v>
      </c>
      <c r="B1213">
        <v>4</v>
      </c>
      <c r="C1213" t="s">
        <v>16</v>
      </c>
      <c r="D1213" s="2">
        <v>0.44027777777777777</v>
      </c>
      <c r="E1213">
        <v>24920.54</v>
      </c>
      <c r="F1213" s="2">
        <v>0.44236111111111109</v>
      </c>
      <c r="G1213">
        <v>24964.16</v>
      </c>
      <c r="H1213">
        <v>24903.1</v>
      </c>
      <c r="I1213">
        <v>24964.16</v>
      </c>
      <c r="J1213" t="s">
        <v>14</v>
      </c>
      <c r="K1213">
        <v>43.61</v>
      </c>
      <c r="L1213" s="9">
        <v>2.5</v>
      </c>
      <c r="M1213">
        <v>1</v>
      </c>
      <c r="N1213">
        <v>0</v>
      </c>
    </row>
    <row r="1214" spans="1:14" x14ac:dyDescent="0.2">
      <c r="A1214" s="1">
        <v>45947</v>
      </c>
      <c r="B1214">
        <v>5</v>
      </c>
      <c r="C1214" t="s">
        <v>16</v>
      </c>
      <c r="D1214" s="2">
        <v>0.4152777777777778</v>
      </c>
      <c r="E1214">
        <v>24686.33</v>
      </c>
      <c r="F1214" s="2">
        <v>0.41597222222222224</v>
      </c>
      <c r="G1214">
        <v>24669.05</v>
      </c>
      <c r="H1214">
        <v>24669.05</v>
      </c>
      <c r="I1214">
        <v>24729.53</v>
      </c>
      <c r="J1214" t="s">
        <v>15</v>
      </c>
      <c r="K1214">
        <v>-17.28</v>
      </c>
      <c r="L1214" s="9">
        <v>-1</v>
      </c>
      <c r="M1214">
        <v>0</v>
      </c>
      <c r="N1214">
        <v>0</v>
      </c>
    </row>
    <row r="1215" spans="1:14" x14ac:dyDescent="0.2">
      <c r="A1215" s="1">
        <v>45950</v>
      </c>
      <c r="B1215">
        <v>1</v>
      </c>
      <c r="C1215" t="s">
        <v>16</v>
      </c>
      <c r="D1215" s="2">
        <v>0.40208333333333335</v>
      </c>
      <c r="E1215">
        <v>25042.84</v>
      </c>
      <c r="F1215" s="2">
        <v>0.40347222222222223</v>
      </c>
      <c r="G1215">
        <v>25025.31</v>
      </c>
      <c r="H1215">
        <v>25025.31</v>
      </c>
      <c r="I1215">
        <v>25086.67</v>
      </c>
      <c r="J1215" t="s">
        <v>15</v>
      </c>
      <c r="K1215">
        <v>-17.53</v>
      </c>
      <c r="L1215" s="9">
        <v>-1</v>
      </c>
      <c r="M1215">
        <v>0</v>
      </c>
      <c r="N1215">
        <v>2</v>
      </c>
    </row>
    <row r="1216" spans="1:14" x14ac:dyDescent="0.2">
      <c r="A1216" s="1">
        <v>45950</v>
      </c>
      <c r="B1216">
        <v>1</v>
      </c>
      <c r="C1216" t="s">
        <v>16</v>
      </c>
      <c r="D1216" s="2">
        <v>0.43819444444444444</v>
      </c>
      <c r="E1216">
        <v>25108.68</v>
      </c>
      <c r="F1216" s="2">
        <v>0.45347222222222222</v>
      </c>
      <c r="G1216">
        <v>25152.62</v>
      </c>
      <c r="H1216">
        <v>25091.1</v>
      </c>
      <c r="I1216">
        <v>25152.62</v>
      </c>
      <c r="J1216" t="s">
        <v>14</v>
      </c>
      <c r="K1216">
        <v>43.94</v>
      </c>
      <c r="L1216" s="9">
        <v>2.5</v>
      </c>
      <c r="M1216">
        <v>1</v>
      </c>
      <c r="N1216">
        <v>0</v>
      </c>
    </row>
    <row r="1217" spans="1:14" x14ac:dyDescent="0.2">
      <c r="A1217" s="1">
        <v>45951</v>
      </c>
      <c r="B1217">
        <v>2</v>
      </c>
      <c r="C1217" t="s">
        <v>13</v>
      </c>
      <c r="D1217" s="2">
        <v>0.40694444444444444</v>
      </c>
      <c r="E1217">
        <v>25088.959999999999</v>
      </c>
      <c r="F1217" s="2">
        <v>0.42986111111111114</v>
      </c>
      <c r="G1217">
        <v>25106.52</v>
      </c>
      <c r="H1217">
        <v>25106.52</v>
      </c>
      <c r="I1217">
        <v>25045.06</v>
      </c>
      <c r="J1217" t="s">
        <v>15</v>
      </c>
      <c r="K1217">
        <v>-17.559999999999999</v>
      </c>
      <c r="L1217" s="9">
        <v>-1</v>
      </c>
      <c r="M1217">
        <v>0</v>
      </c>
      <c r="N1217">
        <v>0</v>
      </c>
    </row>
    <row r="1218" spans="1:14" x14ac:dyDescent="0.2">
      <c r="A1218" s="1">
        <v>45951</v>
      </c>
      <c r="B1218">
        <v>2</v>
      </c>
      <c r="C1218" t="s">
        <v>16</v>
      </c>
      <c r="D1218" s="2">
        <v>0.45277777777777778</v>
      </c>
      <c r="E1218">
        <v>25093.77</v>
      </c>
      <c r="F1218" s="2">
        <v>0.45833333333333331</v>
      </c>
      <c r="G1218">
        <v>25137.68</v>
      </c>
      <c r="H1218">
        <v>25076.2</v>
      </c>
      <c r="I1218">
        <v>25137.68</v>
      </c>
      <c r="J1218" t="s">
        <v>14</v>
      </c>
      <c r="K1218">
        <v>43.91</v>
      </c>
      <c r="L1218" s="9">
        <v>2.5</v>
      </c>
      <c r="M1218">
        <v>1</v>
      </c>
      <c r="N1218">
        <v>0</v>
      </c>
    </row>
    <row r="1219" spans="1:14" x14ac:dyDescent="0.2">
      <c r="A1219" s="1">
        <v>45952</v>
      </c>
      <c r="B1219">
        <v>3</v>
      </c>
      <c r="C1219" t="s">
        <v>13</v>
      </c>
      <c r="D1219" s="2">
        <v>0.40069444444444446</v>
      </c>
      <c r="E1219">
        <v>25034.38</v>
      </c>
      <c r="F1219" s="2">
        <v>0.40208333333333335</v>
      </c>
      <c r="G1219">
        <v>25051.91</v>
      </c>
      <c r="H1219">
        <v>25051.91</v>
      </c>
      <c r="I1219">
        <v>24990.57</v>
      </c>
      <c r="J1219" t="s">
        <v>15</v>
      </c>
      <c r="K1219">
        <v>-17.52</v>
      </c>
      <c r="L1219" s="9">
        <v>-1</v>
      </c>
      <c r="M1219">
        <v>0</v>
      </c>
      <c r="N1219">
        <v>0</v>
      </c>
    </row>
    <row r="1220" spans="1:14" x14ac:dyDescent="0.2">
      <c r="A1220" s="1">
        <v>45952</v>
      </c>
      <c r="B1220">
        <v>3</v>
      </c>
      <c r="C1220" t="s">
        <v>13</v>
      </c>
      <c r="D1220" s="2">
        <v>0.43402777777777779</v>
      </c>
      <c r="E1220">
        <v>25042.87</v>
      </c>
      <c r="F1220" s="2">
        <v>0.43541666666666667</v>
      </c>
      <c r="G1220">
        <v>24999.05</v>
      </c>
      <c r="H1220">
        <v>25060.400000000001</v>
      </c>
      <c r="I1220">
        <v>24999.05</v>
      </c>
      <c r="J1220" t="s">
        <v>14</v>
      </c>
      <c r="K1220">
        <v>43.83</v>
      </c>
      <c r="L1220" s="9">
        <v>2.5</v>
      </c>
      <c r="M1220">
        <v>1</v>
      </c>
      <c r="N1220">
        <v>0</v>
      </c>
    </row>
    <row r="1221" spans="1:14" x14ac:dyDescent="0.2">
      <c r="A1221" s="1">
        <v>45953</v>
      </c>
      <c r="B1221">
        <v>4</v>
      </c>
      <c r="C1221" t="s">
        <v>16</v>
      </c>
      <c r="D1221" s="2">
        <v>0.39652777777777776</v>
      </c>
      <c r="E1221">
        <v>24861.17</v>
      </c>
      <c r="F1221" s="2">
        <v>0.4</v>
      </c>
      <c r="G1221">
        <v>24904.68</v>
      </c>
      <c r="H1221">
        <v>24843.77</v>
      </c>
      <c r="I1221">
        <v>24904.68</v>
      </c>
      <c r="J1221" t="s">
        <v>14</v>
      </c>
      <c r="K1221">
        <v>43.51</v>
      </c>
      <c r="L1221" s="9">
        <v>2.5</v>
      </c>
      <c r="M1221">
        <v>1</v>
      </c>
      <c r="N1221">
        <v>2</v>
      </c>
    </row>
    <row r="1222" spans="1:14" x14ac:dyDescent="0.2">
      <c r="A1222" s="1">
        <v>45953</v>
      </c>
      <c r="B1222">
        <v>4</v>
      </c>
      <c r="C1222" t="s">
        <v>16</v>
      </c>
      <c r="D1222" s="2">
        <v>0.44444444444444442</v>
      </c>
      <c r="E1222">
        <v>25025.75</v>
      </c>
      <c r="F1222" s="2">
        <v>0.4465277777777778</v>
      </c>
      <c r="G1222">
        <v>25008.23</v>
      </c>
      <c r="H1222">
        <v>25008.23</v>
      </c>
      <c r="I1222">
        <v>25069.54</v>
      </c>
      <c r="J1222" t="s">
        <v>15</v>
      </c>
      <c r="K1222">
        <v>-17.52</v>
      </c>
      <c r="L1222" s="9">
        <v>-1</v>
      </c>
      <c r="M1222">
        <v>0</v>
      </c>
      <c r="N1222">
        <v>0</v>
      </c>
    </row>
    <row r="1223" spans="1:14" x14ac:dyDescent="0.2">
      <c r="A1223" s="1">
        <v>45954</v>
      </c>
      <c r="B1223">
        <v>5</v>
      </c>
      <c r="C1223" t="s">
        <v>16</v>
      </c>
      <c r="D1223" s="2">
        <v>0.42222222222222222</v>
      </c>
      <c r="E1223">
        <v>25377.22</v>
      </c>
      <c r="F1223" s="2">
        <v>0.43125000000000002</v>
      </c>
      <c r="G1223">
        <v>25359.45</v>
      </c>
      <c r="H1223">
        <v>25359.45</v>
      </c>
      <c r="I1223">
        <v>25421.63</v>
      </c>
      <c r="J1223" t="s">
        <v>15</v>
      </c>
      <c r="K1223">
        <v>-17.760000000000002</v>
      </c>
      <c r="L1223" s="9">
        <v>-1</v>
      </c>
      <c r="M1223">
        <v>0</v>
      </c>
      <c r="N1223">
        <v>2</v>
      </c>
    </row>
    <row r="1224" spans="1:14" x14ac:dyDescent="0.2">
      <c r="A1224" s="1">
        <v>45957</v>
      </c>
      <c r="B1224">
        <v>1</v>
      </c>
      <c r="C1224" t="s">
        <v>16</v>
      </c>
      <c r="D1224" s="2">
        <v>0.41388888888888886</v>
      </c>
      <c r="E1224">
        <v>25692.7</v>
      </c>
      <c r="F1224" s="2">
        <v>0.44166666666666665</v>
      </c>
      <c r="G1224">
        <v>25737.67</v>
      </c>
      <c r="H1224">
        <v>25674.720000000001</v>
      </c>
      <c r="I1224">
        <v>25737.67</v>
      </c>
      <c r="J1224" t="s">
        <v>14</v>
      </c>
      <c r="K1224">
        <v>44.96</v>
      </c>
      <c r="L1224" s="9">
        <v>2.5</v>
      </c>
      <c r="M1224">
        <v>1</v>
      </c>
      <c r="N1224">
        <v>0</v>
      </c>
    </row>
    <row r="1225" spans="1:14" x14ac:dyDescent="0.2">
      <c r="A1225" s="1">
        <v>45958</v>
      </c>
      <c r="B1225">
        <v>2</v>
      </c>
      <c r="C1225" t="s">
        <v>16</v>
      </c>
      <c r="D1225" s="2">
        <v>0.39861111111111114</v>
      </c>
      <c r="E1225">
        <v>25930.25</v>
      </c>
      <c r="F1225" s="2">
        <v>0.39930555555555558</v>
      </c>
      <c r="G1225">
        <v>25912.09</v>
      </c>
      <c r="H1225">
        <v>25912.09</v>
      </c>
      <c r="I1225">
        <v>25975.62</v>
      </c>
      <c r="J1225" t="s">
        <v>15</v>
      </c>
      <c r="K1225">
        <v>-18.149999999999999</v>
      </c>
      <c r="L1225" s="9">
        <v>-1</v>
      </c>
      <c r="M1225">
        <v>0</v>
      </c>
      <c r="N1225">
        <v>0</v>
      </c>
    </row>
    <row r="1226" spans="1:14" x14ac:dyDescent="0.2">
      <c r="A1226" s="1">
        <v>45958</v>
      </c>
      <c r="B1226">
        <v>2</v>
      </c>
      <c r="C1226" t="s">
        <v>13</v>
      </c>
      <c r="D1226" s="2">
        <v>0.43819444444444444</v>
      </c>
      <c r="E1226">
        <v>25898.95</v>
      </c>
      <c r="F1226" s="2">
        <v>0.49930555555555556</v>
      </c>
      <c r="G1226">
        <v>25917.08</v>
      </c>
      <c r="H1226">
        <v>25917.08</v>
      </c>
      <c r="I1226">
        <v>25853.63</v>
      </c>
      <c r="J1226" t="s">
        <v>15</v>
      </c>
      <c r="K1226">
        <v>-18.13</v>
      </c>
      <c r="L1226" s="9">
        <v>-1</v>
      </c>
      <c r="M1226">
        <v>0</v>
      </c>
      <c r="N1226">
        <v>2</v>
      </c>
    </row>
    <row r="1227" spans="1:14" x14ac:dyDescent="0.2">
      <c r="A1227" s="1">
        <v>45960</v>
      </c>
      <c r="B1227">
        <v>4</v>
      </c>
      <c r="C1227" t="s">
        <v>13</v>
      </c>
      <c r="D1227" s="2">
        <v>0.40347222222222223</v>
      </c>
      <c r="E1227">
        <v>25828.44</v>
      </c>
      <c r="F1227" s="2">
        <v>0.40486111111111112</v>
      </c>
      <c r="G1227">
        <v>25846.52</v>
      </c>
      <c r="H1227">
        <v>25846.52</v>
      </c>
      <c r="I1227">
        <v>25783.24</v>
      </c>
      <c r="J1227" t="s">
        <v>15</v>
      </c>
      <c r="K1227">
        <v>-18.079999999999998</v>
      </c>
      <c r="L1227" s="9">
        <v>-1</v>
      </c>
      <c r="M1227">
        <v>0</v>
      </c>
      <c r="N1227">
        <v>3</v>
      </c>
    </row>
    <row r="1228" spans="1:14" x14ac:dyDescent="0.2">
      <c r="A1228" s="1">
        <v>45960</v>
      </c>
      <c r="B1228">
        <v>4</v>
      </c>
      <c r="C1228" t="s">
        <v>13</v>
      </c>
      <c r="D1228" s="2">
        <v>0.43541666666666667</v>
      </c>
      <c r="E1228">
        <v>25889.59</v>
      </c>
      <c r="F1228" s="2">
        <v>0.43819444444444444</v>
      </c>
      <c r="G1228">
        <v>25907.71</v>
      </c>
      <c r="H1228">
        <v>25907.71</v>
      </c>
      <c r="I1228">
        <v>25844.28</v>
      </c>
      <c r="J1228" t="s">
        <v>15</v>
      </c>
      <c r="K1228">
        <v>-18.12</v>
      </c>
      <c r="L1228" s="9">
        <v>-1</v>
      </c>
      <c r="M1228">
        <v>0</v>
      </c>
      <c r="N1228">
        <v>4</v>
      </c>
    </row>
    <row r="1229" spans="1:14" x14ac:dyDescent="0.2">
      <c r="A1229" s="1">
        <v>45961</v>
      </c>
      <c r="B1229">
        <v>5</v>
      </c>
      <c r="C1229" t="s">
        <v>13</v>
      </c>
      <c r="D1229" s="2">
        <v>0.39930555555555558</v>
      </c>
      <c r="E1229">
        <v>26029.98</v>
      </c>
      <c r="F1229" s="2">
        <v>0.40416666666666667</v>
      </c>
      <c r="G1229">
        <v>25984.43</v>
      </c>
      <c r="H1229">
        <v>26048.2</v>
      </c>
      <c r="I1229">
        <v>25984.43</v>
      </c>
      <c r="J1229" t="s">
        <v>14</v>
      </c>
      <c r="K1229">
        <v>45.55</v>
      </c>
      <c r="L1229" s="9">
        <v>2.5</v>
      </c>
      <c r="M1229">
        <v>1</v>
      </c>
      <c r="N1229">
        <v>0</v>
      </c>
    </row>
    <row r="1230" spans="1:14" s="7" customFormat="1" x14ac:dyDescent="0.2">
      <c r="A1230" s="6">
        <v>45961</v>
      </c>
      <c r="B1230" s="7">
        <v>5</v>
      </c>
      <c r="C1230" s="7" t="s">
        <v>16</v>
      </c>
      <c r="D1230" s="8">
        <v>0.44444444444444442</v>
      </c>
      <c r="E1230" s="7">
        <v>26005.41</v>
      </c>
      <c r="F1230" s="8">
        <v>0.48402777777777778</v>
      </c>
      <c r="G1230" s="7">
        <v>25987.21</v>
      </c>
      <c r="H1230" s="7">
        <v>25987.21</v>
      </c>
      <c r="I1230" s="7">
        <v>26050.92</v>
      </c>
      <c r="J1230" s="7" t="s">
        <v>15</v>
      </c>
      <c r="K1230" s="7">
        <v>-18.2</v>
      </c>
      <c r="L1230" s="10">
        <v>-1</v>
      </c>
      <c r="M1230" s="7">
        <v>0</v>
      </c>
      <c r="N1230" s="7">
        <v>0</v>
      </c>
    </row>
    <row r="1231" spans="1:14" x14ac:dyDescent="0.2">
      <c r="A1231" s="1">
        <v>45965</v>
      </c>
      <c r="B1231">
        <v>2</v>
      </c>
      <c r="C1231" t="s">
        <v>16</v>
      </c>
      <c r="D1231" s="2">
        <v>0.4152777777777778</v>
      </c>
      <c r="E1231">
        <v>25720.799999999999</v>
      </c>
      <c r="F1231" s="2">
        <v>0.4236111111111111</v>
      </c>
      <c r="G1231">
        <v>25702.799999999999</v>
      </c>
      <c r="H1231">
        <v>25702.799999999999</v>
      </c>
      <c r="I1231">
        <v>25765.81</v>
      </c>
      <c r="J1231" t="s">
        <v>15</v>
      </c>
      <c r="K1231">
        <v>-18</v>
      </c>
      <c r="L1231" s="9">
        <v>-1</v>
      </c>
      <c r="M1231">
        <v>0</v>
      </c>
      <c r="N1231">
        <v>2</v>
      </c>
    </row>
    <row r="1232" spans="1:14" x14ac:dyDescent="0.2">
      <c r="A1232" s="1">
        <v>45965</v>
      </c>
      <c r="B1232">
        <v>2</v>
      </c>
      <c r="C1232" t="s">
        <v>13</v>
      </c>
      <c r="D1232" s="2">
        <v>0.45694444444444443</v>
      </c>
      <c r="E1232">
        <v>25660.13</v>
      </c>
      <c r="F1232" s="2">
        <v>0.45833333333333331</v>
      </c>
      <c r="G1232">
        <v>25678.1</v>
      </c>
      <c r="H1232">
        <v>25678.1</v>
      </c>
      <c r="I1232">
        <v>25615.23</v>
      </c>
      <c r="J1232" t="s">
        <v>15</v>
      </c>
      <c r="K1232">
        <v>-17.96</v>
      </c>
      <c r="L1232" s="9">
        <v>-1</v>
      </c>
      <c r="M1232">
        <v>0</v>
      </c>
      <c r="N1232">
        <v>3</v>
      </c>
    </row>
    <row r="1233" spans="1:14" x14ac:dyDescent="0.2">
      <c r="A1233" s="1">
        <v>45967</v>
      </c>
      <c r="B1233">
        <v>4</v>
      </c>
      <c r="C1233" t="s">
        <v>13</v>
      </c>
      <c r="D1233" s="2">
        <v>0.40138888888888891</v>
      </c>
      <c r="E1233">
        <v>25524.23</v>
      </c>
      <c r="F1233" s="2">
        <v>0.40208333333333335</v>
      </c>
      <c r="G1233">
        <v>25542.1</v>
      </c>
      <c r="H1233">
        <v>25542.1</v>
      </c>
      <c r="I1233">
        <v>25479.56</v>
      </c>
      <c r="J1233" t="s">
        <v>15</v>
      </c>
      <c r="K1233">
        <v>-17.87</v>
      </c>
      <c r="L1233" s="9">
        <v>-1</v>
      </c>
      <c r="M1233">
        <v>0</v>
      </c>
      <c r="N1233">
        <v>4</v>
      </c>
    </row>
    <row r="1234" spans="1:14" x14ac:dyDescent="0.2">
      <c r="A1234" s="1">
        <v>45967</v>
      </c>
      <c r="B1234">
        <v>4</v>
      </c>
      <c r="C1234" t="s">
        <v>13</v>
      </c>
      <c r="D1234" s="2">
        <v>0.4465277777777778</v>
      </c>
      <c r="E1234">
        <v>25240.66</v>
      </c>
      <c r="F1234" s="2">
        <v>0.45</v>
      </c>
      <c r="G1234">
        <v>25196.49</v>
      </c>
      <c r="H1234">
        <v>25258.33</v>
      </c>
      <c r="I1234">
        <v>25196.49</v>
      </c>
      <c r="J1234" t="s">
        <v>14</v>
      </c>
      <c r="K1234">
        <v>44.17</v>
      </c>
      <c r="L1234" s="9">
        <v>2.5</v>
      </c>
      <c r="M1234">
        <v>1</v>
      </c>
      <c r="N1234">
        <v>0</v>
      </c>
    </row>
    <row r="1235" spans="1:14" x14ac:dyDescent="0.2">
      <c r="A1235" s="1">
        <v>45968</v>
      </c>
      <c r="B1235">
        <v>5</v>
      </c>
      <c r="C1235" t="s">
        <v>13</v>
      </c>
      <c r="D1235" s="2">
        <v>0.40347222222222223</v>
      </c>
      <c r="E1235">
        <v>24851.85</v>
      </c>
      <c r="F1235" s="2">
        <v>0.40486111111111112</v>
      </c>
      <c r="G1235">
        <v>24869.25</v>
      </c>
      <c r="H1235">
        <v>24869.25</v>
      </c>
      <c r="I1235">
        <v>24808.36</v>
      </c>
      <c r="J1235" t="s">
        <v>15</v>
      </c>
      <c r="K1235">
        <v>-17.399999999999999</v>
      </c>
      <c r="L1235" s="9">
        <v>-1</v>
      </c>
      <c r="M1235">
        <v>0</v>
      </c>
      <c r="N1235">
        <v>0</v>
      </c>
    </row>
    <row r="1236" spans="1:14" x14ac:dyDescent="0.2">
      <c r="A1236" s="1">
        <v>45968</v>
      </c>
      <c r="B1236">
        <v>5</v>
      </c>
      <c r="C1236" t="s">
        <v>13</v>
      </c>
      <c r="D1236" s="2">
        <v>0.44930555555555557</v>
      </c>
      <c r="E1236">
        <v>24764.09</v>
      </c>
      <c r="F1236" s="2">
        <v>0.4513888888888889</v>
      </c>
      <c r="G1236">
        <v>24781.43</v>
      </c>
      <c r="H1236">
        <v>24781.43</v>
      </c>
      <c r="I1236">
        <v>24720.75</v>
      </c>
      <c r="J1236" t="s">
        <v>15</v>
      </c>
      <c r="K1236">
        <v>-17.329999999999998</v>
      </c>
      <c r="L1236" s="9">
        <v>-1</v>
      </c>
      <c r="M1236">
        <v>0</v>
      </c>
      <c r="N1236">
        <v>2</v>
      </c>
    </row>
    <row r="1237" spans="1:14" x14ac:dyDescent="0.2">
      <c r="A1237" s="1">
        <v>45971</v>
      </c>
      <c r="B1237">
        <v>1</v>
      </c>
      <c r="C1237" t="s">
        <v>16</v>
      </c>
      <c r="D1237" s="2">
        <v>0.40416666666666667</v>
      </c>
      <c r="E1237">
        <v>25507.61</v>
      </c>
      <c r="F1237" s="2">
        <v>0.40972222222222221</v>
      </c>
      <c r="G1237">
        <v>25489.75</v>
      </c>
      <c r="H1237">
        <v>25489.75</v>
      </c>
      <c r="I1237">
        <v>25552.240000000002</v>
      </c>
      <c r="J1237" t="s">
        <v>15</v>
      </c>
      <c r="K1237">
        <v>-17.86</v>
      </c>
      <c r="L1237" s="9">
        <v>-1</v>
      </c>
      <c r="M1237">
        <v>0</v>
      </c>
      <c r="N1237">
        <v>3</v>
      </c>
    </row>
    <row r="1238" spans="1:14" x14ac:dyDescent="0.2">
      <c r="A1238" s="1">
        <v>45971</v>
      </c>
      <c r="B1238">
        <v>1</v>
      </c>
      <c r="C1238" t="s">
        <v>16</v>
      </c>
      <c r="D1238" s="2">
        <v>0.42291666666666666</v>
      </c>
      <c r="E1238">
        <v>25534.46</v>
      </c>
      <c r="F1238" s="2">
        <v>0.42638888888888887</v>
      </c>
      <c r="G1238">
        <v>25516.58</v>
      </c>
      <c r="H1238">
        <v>25516.58</v>
      </c>
      <c r="I1238">
        <v>25579.14</v>
      </c>
      <c r="J1238" t="s">
        <v>15</v>
      </c>
      <c r="K1238">
        <v>-17.87</v>
      </c>
      <c r="L1238" s="9">
        <v>-1</v>
      </c>
      <c r="M1238">
        <v>0</v>
      </c>
      <c r="N1238">
        <v>4</v>
      </c>
    </row>
    <row r="1239" spans="1:14" x14ac:dyDescent="0.2">
      <c r="A1239" s="1">
        <v>45971</v>
      </c>
      <c r="B1239">
        <v>1</v>
      </c>
      <c r="C1239" t="s">
        <v>16</v>
      </c>
      <c r="D1239" s="2">
        <v>0.43611111111111112</v>
      </c>
      <c r="E1239">
        <v>25550.720000000001</v>
      </c>
      <c r="F1239" s="2">
        <v>0.43958333333333333</v>
      </c>
      <c r="G1239">
        <v>25532.84</v>
      </c>
      <c r="H1239">
        <v>25532.84</v>
      </c>
      <c r="I1239">
        <v>25595.439999999999</v>
      </c>
      <c r="J1239" t="s">
        <v>15</v>
      </c>
      <c r="K1239">
        <v>-17.89</v>
      </c>
      <c r="L1239" s="9">
        <v>-1</v>
      </c>
      <c r="M1239">
        <v>0</v>
      </c>
      <c r="N1239">
        <v>5</v>
      </c>
    </row>
    <row r="1240" spans="1:14" x14ac:dyDescent="0.2">
      <c r="A1240" s="1">
        <v>45972</v>
      </c>
      <c r="B1240">
        <v>2</v>
      </c>
      <c r="C1240" t="s">
        <v>13</v>
      </c>
      <c r="D1240" s="2">
        <v>0.41249999999999998</v>
      </c>
      <c r="E1240">
        <v>25473.26</v>
      </c>
      <c r="F1240" s="2">
        <v>0.41388888888888886</v>
      </c>
      <c r="G1240">
        <v>25491.09</v>
      </c>
      <c r="H1240">
        <v>25491.09</v>
      </c>
      <c r="I1240">
        <v>25428.69</v>
      </c>
      <c r="J1240" t="s">
        <v>15</v>
      </c>
      <c r="K1240">
        <v>-17.829999999999998</v>
      </c>
      <c r="L1240" s="9">
        <v>-1</v>
      </c>
      <c r="M1240">
        <v>0</v>
      </c>
      <c r="N1240">
        <v>6</v>
      </c>
    </row>
    <row r="1241" spans="1:14" x14ac:dyDescent="0.2">
      <c r="A1241" s="1">
        <v>45972</v>
      </c>
      <c r="B1241">
        <v>2</v>
      </c>
      <c r="C1241" t="s">
        <v>13</v>
      </c>
      <c r="D1241" s="2">
        <v>0.42916666666666664</v>
      </c>
      <c r="E1241">
        <v>25459.26</v>
      </c>
      <c r="F1241" s="2">
        <v>0.43958333333333333</v>
      </c>
      <c r="G1241">
        <v>25414.71</v>
      </c>
      <c r="H1241">
        <v>25477.09</v>
      </c>
      <c r="I1241">
        <v>25414.71</v>
      </c>
      <c r="J1241" t="s">
        <v>14</v>
      </c>
      <c r="K1241">
        <v>44.55</v>
      </c>
      <c r="L1241" s="9">
        <v>2.5</v>
      </c>
      <c r="M1241">
        <v>1</v>
      </c>
      <c r="N12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F0A1-84C3-AF43-BA84-6F8CD80409DC}">
  <dimension ref="A1:P1242"/>
  <sheetViews>
    <sheetView tabSelected="1" topLeftCell="A1140" zoomScale="136" zoomScaleNormal="120" workbookViewId="0">
      <selection activeCell="A1155" sqref="A1155:D1156"/>
    </sheetView>
  </sheetViews>
  <sheetFormatPr baseColWidth="10" defaultRowHeight="16" x14ac:dyDescent="0.2"/>
  <cols>
    <col min="2" max="2" width="11.83203125" customWidth="1"/>
    <col min="5" max="5" width="11.6640625" customWidth="1"/>
    <col min="10" max="10" width="11.83203125" customWidth="1"/>
    <col min="11" max="11" width="11" customWidth="1"/>
    <col min="12" max="12" width="10.83203125" style="9"/>
    <col min="13" max="13" width="12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 t="s">
        <v>11</v>
      </c>
      <c r="M1" t="s">
        <v>12</v>
      </c>
      <c r="N1" t="s">
        <v>19</v>
      </c>
      <c r="O1" t="s">
        <v>20</v>
      </c>
      <c r="P1" t="s">
        <v>22</v>
      </c>
    </row>
    <row r="2" spans="1:16" x14ac:dyDescent="0.2">
      <c r="A2" s="1">
        <v>44929</v>
      </c>
      <c r="B2">
        <v>2</v>
      </c>
      <c r="C2" t="s">
        <v>13</v>
      </c>
      <c r="D2" s="2">
        <v>0.41666666666666669</v>
      </c>
      <c r="E2">
        <v>10923.8</v>
      </c>
      <c r="F2" s="2">
        <v>0.41805555555555557</v>
      </c>
      <c r="G2">
        <v>10904.68</v>
      </c>
      <c r="H2">
        <v>10931.44</v>
      </c>
      <c r="I2">
        <v>10904.68</v>
      </c>
      <c r="J2" t="s">
        <v>14</v>
      </c>
      <c r="K2">
        <v>19.12</v>
      </c>
      <c r="L2" s="9">
        <v>2.5</v>
      </c>
      <c r="M2">
        <v>1</v>
      </c>
      <c r="N2">
        <f t="shared" ref="N2:N65" si="0">IF(M2=0, IF(M1=0, N1+1, 1), 0)</f>
        <v>0</v>
      </c>
      <c r="O2">
        <f t="shared" ref="O2:O65" si="1">IF(M2=1, IF(M1=1, O1+1, 1), 0)</f>
        <v>1</v>
      </c>
    </row>
    <row r="3" spans="1:16" x14ac:dyDescent="0.2">
      <c r="A3" s="1">
        <v>44932</v>
      </c>
      <c r="B3">
        <v>5</v>
      </c>
      <c r="C3" t="s">
        <v>13</v>
      </c>
      <c r="D3" s="2">
        <v>0.40694444444444444</v>
      </c>
      <c r="E3">
        <v>10720.02</v>
      </c>
      <c r="F3" s="2">
        <v>0.40763888888888888</v>
      </c>
      <c r="G3">
        <v>10727.53</v>
      </c>
      <c r="H3">
        <v>10727.53</v>
      </c>
      <c r="I3">
        <v>10701.26</v>
      </c>
      <c r="J3" t="s">
        <v>15</v>
      </c>
      <c r="K3">
        <v>-7.5</v>
      </c>
      <c r="L3" s="9">
        <v>-1</v>
      </c>
      <c r="M3">
        <v>0</v>
      </c>
      <c r="N3">
        <f t="shared" si="0"/>
        <v>1</v>
      </c>
      <c r="O3">
        <f t="shared" si="1"/>
        <v>0</v>
      </c>
    </row>
    <row r="4" spans="1:16" x14ac:dyDescent="0.2">
      <c r="A4" s="1">
        <v>44932</v>
      </c>
      <c r="B4">
        <v>5</v>
      </c>
      <c r="C4" t="s">
        <v>16</v>
      </c>
      <c r="D4" s="2">
        <v>0.42499999999999999</v>
      </c>
      <c r="E4">
        <v>10815.06</v>
      </c>
      <c r="F4" s="2">
        <v>0.42569444444444443</v>
      </c>
      <c r="G4">
        <v>10833.98</v>
      </c>
      <c r="H4">
        <v>10807.49</v>
      </c>
      <c r="I4">
        <v>10833.98</v>
      </c>
      <c r="J4" t="s">
        <v>14</v>
      </c>
      <c r="K4">
        <v>18.93</v>
      </c>
      <c r="L4" s="9">
        <v>2.5</v>
      </c>
      <c r="M4">
        <v>1</v>
      </c>
      <c r="N4">
        <f t="shared" si="0"/>
        <v>0</v>
      </c>
      <c r="O4">
        <f t="shared" si="1"/>
        <v>1</v>
      </c>
    </row>
    <row r="5" spans="1:16" x14ac:dyDescent="0.2">
      <c r="A5" s="1">
        <v>44932</v>
      </c>
      <c r="B5">
        <v>5</v>
      </c>
      <c r="C5" t="s">
        <v>16</v>
      </c>
      <c r="D5" s="2">
        <v>0.44583333333333336</v>
      </c>
      <c r="E5">
        <v>10879.38</v>
      </c>
      <c r="F5" s="2">
        <v>0.44722222222222224</v>
      </c>
      <c r="G5">
        <v>10871.76</v>
      </c>
      <c r="H5">
        <v>10871.76</v>
      </c>
      <c r="I5">
        <v>10898.42</v>
      </c>
      <c r="J5" t="s">
        <v>15</v>
      </c>
      <c r="K5">
        <v>-7.62</v>
      </c>
      <c r="L5" s="9">
        <v>-1</v>
      </c>
      <c r="M5">
        <v>0</v>
      </c>
      <c r="N5">
        <f t="shared" si="0"/>
        <v>1</v>
      </c>
      <c r="O5">
        <f t="shared" si="1"/>
        <v>0</v>
      </c>
    </row>
    <row r="6" spans="1:16" x14ac:dyDescent="0.2">
      <c r="A6" s="1">
        <v>44935</v>
      </c>
      <c r="B6">
        <v>1</v>
      </c>
      <c r="C6" t="s">
        <v>16</v>
      </c>
      <c r="D6" s="2">
        <v>0.39583333333333331</v>
      </c>
      <c r="E6">
        <v>11122.95</v>
      </c>
      <c r="F6" s="2">
        <v>0.39652777777777776</v>
      </c>
      <c r="G6">
        <v>11142.41</v>
      </c>
      <c r="H6">
        <v>11115.16</v>
      </c>
      <c r="I6">
        <v>11142.41</v>
      </c>
      <c r="J6" t="s">
        <v>14</v>
      </c>
      <c r="K6">
        <v>19.47</v>
      </c>
      <c r="L6" s="9">
        <v>2.5</v>
      </c>
      <c r="M6">
        <v>1</v>
      </c>
      <c r="N6">
        <f t="shared" si="0"/>
        <v>0</v>
      </c>
      <c r="O6">
        <f t="shared" si="1"/>
        <v>1</v>
      </c>
    </row>
    <row r="7" spans="1:16" x14ac:dyDescent="0.2">
      <c r="A7" s="1">
        <v>44935</v>
      </c>
      <c r="B7">
        <v>1</v>
      </c>
      <c r="C7" t="s">
        <v>16</v>
      </c>
      <c r="D7" s="2">
        <v>0.44444444444444442</v>
      </c>
      <c r="E7">
        <v>11262.52</v>
      </c>
      <c r="F7" s="2">
        <v>0.44583333333333336</v>
      </c>
      <c r="G7">
        <v>11254.63</v>
      </c>
      <c r="H7">
        <v>11254.63</v>
      </c>
      <c r="I7">
        <v>11282.23</v>
      </c>
      <c r="J7" t="s">
        <v>15</v>
      </c>
      <c r="K7">
        <v>-7.88</v>
      </c>
      <c r="L7" s="9">
        <v>-1</v>
      </c>
      <c r="M7">
        <v>0</v>
      </c>
      <c r="N7">
        <f t="shared" si="0"/>
        <v>1</v>
      </c>
      <c r="O7">
        <f t="shared" si="1"/>
        <v>0</v>
      </c>
    </row>
    <row r="8" spans="1:16" x14ac:dyDescent="0.2">
      <c r="A8" s="1">
        <v>44936</v>
      </c>
      <c r="B8">
        <v>2</v>
      </c>
      <c r="C8" t="s">
        <v>16</v>
      </c>
      <c r="D8" s="2">
        <v>0.40138888888888891</v>
      </c>
      <c r="E8">
        <v>11141.34</v>
      </c>
      <c r="F8" s="2">
        <v>0.40208333333333335</v>
      </c>
      <c r="G8">
        <v>11133.55</v>
      </c>
      <c r="H8">
        <v>11133.55</v>
      </c>
      <c r="I8">
        <v>11160.84</v>
      </c>
      <c r="J8" t="s">
        <v>15</v>
      </c>
      <c r="K8">
        <v>-7.8</v>
      </c>
      <c r="L8" s="9">
        <v>-1</v>
      </c>
      <c r="M8">
        <v>0</v>
      </c>
      <c r="N8">
        <f t="shared" si="0"/>
        <v>2</v>
      </c>
      <c r="O8">
        <f t="shared" si="1"/>
        <v>0</v>
      </c>
    </row>
    <row r="9" spans="1:16" x14ac:dyDescent="0.2">
      <c r="A9" s="1">
        <v>44936</v>
      </c>
      <c r="B9">
        <v>2</v>
      </c>
      <c r="C9" t="s">
        <v>16</v>
      </c>
      <c r="D9" s="2">
        <v>0.42222222222222222</v>
      </c>
      <c r="E9">
        <v>11135.14</v>
      </c>
      <c r="F9" s="2">
        <v>0.4236111111111111</v>
      </c>
      <c r="G9">
        <v>11154.63</v>
      </c>
      <c r="H9">
        <v>11127.35</v>
      </c>
      <c r="I9">
        <v>11154.63</v>
      </c>
      <c r="J9" t="s">
        <v>14</v>
      </c>
      <c r="K9">
        <v>19.489999999999998</v>
      </c>
      <c r="L9" s="9">
        <v>2.5</v>
      </c>
      <c r="M9">
        <v>1</v>
      </c>
      <c r="N9">
        <f t="shared" si="0"/>
        <v>0</v>
      </c>
      <c r="O9">
        <f t="shared" si="1"/>
        <v>1</v>
      </c>
    </row>
    <row r="10" spans="1:16" x14ac:dyDescent="0.2">
      <c r="A10" s="1">
        <v>44936</v>
      </c>
      <c r="B10">
        <v>2</v>
      </c>
      <c r="C10" t="s">
        <v>13</v>
      </c>
      <c r="D10" s="2">
        <v>0.44305555555555554</v>
      </c>
      <c r="E10">
        <v>11084.56</v>
      </c>
      <c r="F10" s="2">
        <v>0.44374999999999998</v>
      </c>
      <c r="G10">
        <v>11092.31</v>
      </c>
      <c r="H10">
        <v>11092.31</v>
      </c>
      <c r="I10">
        <v>11065.16</v>
      </c>
      <c r="J10" t="s">
        <v>15</v>
      </c>
      <c r="K10">
        <v>-7.76</v>
      </c>
      <c r="L10" s="9">
        <v>-1</v>
      </c>
      <c r="M10">
        <v>0</v>
      </c>
      <c r="N10">
        <f t="shared" si="0"/>
        <v>1</v>
      </c>
      <c r="O10">
        <f t="shared" si="1"/>
        <v>0</v>
      </c>
    </row>
    <row r="11" spans="1:16" x14ac:dyDescent="0.2">
      <c r="A11" s="1">
        <v>44937</v>
      </c>
      <c r="B11">
        <v>3</v>
      </c>
      <c r="C11" t="s">
        <v>16</v>
      </c>
      <c r="D11" s="2">
        <v>0.42569444444444443</v>
      </c>
      <c r="E11">
        <v>11278.24</v>
      </c>
      <c r="F11" s="2">
        <v>0.43263888888888891</v>
      </c>
      <c r="G11">
        <v>11297.98</v>
      </c>
      <c r="H11">
        <v>11270.35</v>
      </c>
      <c r="I11">
        <v>11297.98</v>
      </c>
      <c r="J11" t="s">
        <v>14</v>
      </c>
      <c r="K11">
        <v>19.739999999999998</v>
      </c>
      <c r="L11" s="9">
        <v>2.5</v>
      </c>
      <c r="M11">
        <v>1</v>
      </c>
      <c r="N11">
        <f t="shared" si="0"/>
        <v>0</v>
      </c>
      <c r="O11">
        <f t="shared" si="1"/>
        <v>1</v>
      </c>
    </row>
    <row r="12" spans="1:16" x14ac:dyDescent="0.2">
      <c r="A12" s="1">
        <v>44937</v>
      </c>
      <c r="B12">
        <v>3</v>
      </c>
      <c r="C12" t="s">
        <v>13</v>
      </c>
      <c r="D12" s="2">
        <v>0.45763888888888887</v>
      </c>
      <c r="E12">
        <v>11247.59</v>
      </c>
      <c r="F12" s="2">
        <v>0.46041666666666664</v>
      </c>
      <c r="G12">
        <v>11255.46</v>
      </c>
      <c r="H12">
        <v>11255.46</v>
      </c>
      <c r="I12">
        <v>11227.9</v>
      </c>
      <c r="J12" t="s">
        <v>15</v>
      </c>
      <c r="K12">
        <v>-7.87</v>
      </c>
      <c r="L12" s="9">
        <v>-1</v>
      </c>
      <c r="M12">
        <v>0</v>
      </c>
      <c r="N12">
        <f t="shared" si="0"/>
        <v>1</v>
      </c>
      <c r="O12">
        <f t="shared" si="1"/>
        <v>0</v>
      </c>
    </row>
    <row r="13" spans="1:16" x14ac:dyDescent="0.2">
      <c r="A13" s="1">
        <v>44938</v>
      </c>
      <c r="B13">
        <v>4</v>
      </c>
      <c r="C13" t="s">
        <v>13</v>
      </c>
      <c r="D13" s="2">
        <v>0.40208333333333335</v>
      </c>
      <c r="E13">
        <v>11366.96</v>
      </c>
      <c r="F13" s="2">
        <v>0.40277777777777779</v>
      </c>
      <c r="G13">
        <v>11374.92</v>
      </c>
      <c r="H13">
        <v>11374.92</v>
      </c>
      <c r="I13">
        <v>11347.07</v>
      </c>
      <c r="J13" t="s">
        <v>17</v>
      </c>
      <c r="K13">
        <v>-7.96</v>
      </c>
      <c r="L13" s="9">
        <v>-1</v>
      </c>
      <c r="M13">
        <v>0</v>
      </c>
      <c r="N13">
        <f t="shared" si="0"/>
        <v>2</v>
      </c>
      <c r="O13">
        <f t="shared" si="1"/>
        <v>0</v>
      </c>
    </row>
    <row r="14" spans="1:16" x14ac:dyDescent="0.2">
      <c r="A14" s="1">
        <v>44938</v>
      </c>
      <c r="B14">
        <v>4</v>
      </c>
      <c r="C14" t="s">
        <v>16</v>
      </c>
      <c r="D14" s="2">
        <v>0.42916666666666664</v>
      </c>
      <c r="E14">
        <v>11404.86</v>
      </c>
      <c r="F14" s="2">
        <v>0.42986111111111114</v>
      </c>
      <c r="G14">
        <v>11424.82</v>
      </c>
      <c r="H14">
        <v>11396.87</v>
      </c>
      <c r="I14">
        <v>11424.82</v>
      </c>
      <c r="J14" t="s">
        <v>14</v>
      </c>
      <c r="K14">
        <v>19.96</v>
      </c>
      <c r="L14" s="9">
        <v>2.5</v>
      </c>
      <c r="M14">
        <v>1</v>
      </c>
      <c r="N14">
        <f t="shared" si="0"/>
        <v>0</v>
      </c>
      <c r="O14">
        <f t="shared" si="1"/>
        <v>1</v>
      </c>
    </row>
    <row r="15" spans="1:16" x14ac:dyDescent="0.2">
      <c r="A15" s="1">
        <v>44939</v>
      </c>
      <c r="B15">
        <v>5</v>
      </c>
      <c r="C15" t="s">
        <v>16</v>
      </c>
      <c r="D15" s="2">
        <v>0.3972222222222222</v>
      </c>
      <c r="E15">
        <v>11360.49</v>
      </c>
      <c r="F15" s="2">
        <v>0.39791666666666664</v>
      </c>
      <c r="G15">
        <v>11352.53</v>
      </c>
      <c r="H15">
        <v>11352.53</v>
      </c>
      <c r="I15">
        <v>11380.37</v>
      </c>
      <c r="J15" t="s">
        <v>15</v>
      </c>
      <c r="K15">
        <v>-7.95</v>
      </c>
      <c r="L15" s="9">
        <v>-1</v>
      </c>
      <c r="M15">
        <v>0</v>
      </c>
      <c r="N15">
        <f t="shared" si="0"/>
        <v>1</v>
      </c>
      <c r="O15">
        <f t="shared" si="1"/>
        <v>0</v>
      </c>
    </row>
    <row r="16" spans="1:16" x14ac:dyDescent="0.2">
      <c r="A16" s="1">
        <v>44939</v>
      </c>
      <c r="B16">
        <v>5</v>
      </c>
      <c r="C16" t="s">
        <v>16</v>
      </c>
      <c r="D16" s="2">
        <v>0.4513888888888889</v>
      </c>
      <c r="E16">
        <v>11456.48</v>
      </c>
      <c r="F16" s="2">
        <v>0.45208333333333334</v>
      </c>
      <c r="G16">
        <v>11448.46</v>
      </c>
      <c r="H16">
        <v>11448.46</v>
      </c>
      <c r="I16">
        <v>11476.53</v>
      </c>
      <c r="J16" t="s">
        <v>15</v>
      </c>
      <c r="K16">
        <v>-8.02</v>
      </c>
      <c r="L16" s="9">
        <v>-1</v>
      </c>
      <c r="M16">
        <v>0</v>
      </c>
      <c r="N16">
        <f t="shared" si="0"/>
        <v>2</v>
      </c>
      <c r="O16">
        <f t="shared" si="1"/>
        <v>0</v>
      </c>
    </row>
    <row r="17" spans="1:15" x14ac:dyDescent="0.2">
      <c r="A17" s="1">
        <v>44942</v>
      </c>
      <c r="B17">
        <v>1</v>
      </c>
      <c r="C17" t="s">
        <v>13</v>
      </c>
      <c r="D17" s="2">
        <v>0.42708333333333331</v>
      </c>
      <c r="E17">
        <v>11516.38</v>
      </c>
      <c r="F17" s="2">
        <v>0.43194444444444446</v>
      </c>
      <c r="G17">
        <v>11524.45</v>
      </c>
      <c r="H17">
        <v>11524.45</v>
      </c>
      <c r="I17">
        <v>11496.23</v>
      </c>
      <c r="J17" t="s">
        <v>15</v>
      </c>
      <c r="K17">
        <v>-8.06</v>
      </c>
      <c r="L17" s="9">
        <v>-1</v>
      </c>
      <c r="M17">
        <v>0</v>
      </c>
      <c r="N17">
        <f t="shared" si="0"/>
        <v>3</v>
      </c>
      <c r="O17">
        <f t="shared" si="1"/>
        <v>0</v>
      </c>
    </row>
    <row r="18" spans="1:15" x14ac:dyDescent="0.2">
      <c r="A18" s="1">
        <v>44942</v>
      </c>
      <c r="B18">
        <v>1</v>
      </c>
      <c r="C18" t="s">
        <v>16</v>
      </c>
      <c r="D18" s="2">
        <v>0.44097222222222221</v>
      </c>
      <c r="E18">
        <v>11531.31</v>
      </c>
      <c r="F18" s="2">
        <v>0.47152777777777777</v>
      </c>
      <c r="G18">
        <v>11523.24</v>
      </c>
      <c r="H18">
        <v>11523.24</v>
      </c>
      <c r="I18">
        <v>11551.49</v>
      </c>
      <c r="J18" t="s">
        <v>15</v>
      </c>
      <c r="K18">
        <v>-8.07</v>
      </c>
      <c r="L18" s="9">
        <v>-1</v>
      </c>
      <c r="M18">
        <v>0</v>
      </c>
      <c r="N18">
        <f t="shared" si="0"/>
        <v>4</v>
      </c>
      <c r="O18">
        <f t="shared" si="1"/>
        <v>0</v>
      </c>
    </row>
    <row r="19" spans="1:15" x14ac:dyDescent="0.2">
      <c r="A19" s="1">
        <v>44943</v>
      </c>
      <c r="B19">
        <v>2</v>
      </c>
      <c r="C19" t="s">
        <v>16</v>
      </c>
      <c r="D19" s="2">
        <v>0.39583333333333331</v>
      </c>
      <c r="E19">
        <v>11537.27</v>
      </c>
      <c r="F19" s="2">
        <v>0.39791666666666664</v>
      </c>
      <c r="G19">
        <v>11529.2</v>
      </c>
      <c r="H19">
        <v>11529.2</v>
      </c>
      <c r="I19">
        <v>11557.46</v>
      </c>
      <c r="J19" t="s">
        <v>15</v>
      </c>
      <c r="K19">
        <v>-8.08</v>
      </c>
      <c r="L19" s="9">
        <v>-1</v>
      </c>
      <c r="M19">
        <v>0</v>
      </c>
      <c r="N19">
        <f t="shared" si="0"/>
        <v>5</v>
      </c>
      <c r="O19">
        <f t="shared" si="1"/>
        <v>0</v>
      </c>
    </row>
    <row r="20" spans="1:15" x14ac:dyDescent="0.2">
      <c r="A20" s="1">
        <v>44943</v>
      </c>
      <c r="B20">
        <v>2</v>
      </c>
      <c r="C20" t="s">
        <v>16</v>
      </c>
      <c r="D20" s="2">
        <v>0.42152777777777778</v>
      </c>
      <c r="E20">
        <v>11597.4</v>
      </c>
      <c r="F20" s="2">
        <v>0.4236111111111111</v>
      </c>
      <c r="G20">
        <v>11617.7</v>
      </c>
      <c r="H20">
        <v>11589.28</v>
      </c>
      <c r="I20">
        <v>11617.7</v>
      </c>
      <c r="J20" t="s">
        <v>14</v>
      </c>
      <c r="K20">
        <v>20.3</v>
      </c>
      <c r="L20" s="9">
        <v>2.5</v>
      </c>
      <c r="M20">
        <v>1</v>
      </c>
      <c r="N20">
        <f t="shared" si="0"/>
        <v>0</v>
      </c>
      <c r="O20">
        <f t="shared" si="1"/>
        <v>1</v>
      </c>
    </row>
    <row r="21" spans="1:15" x14ac:dyDescent="0.2">
      <c r="A21" s="1">
        <v>44943</v>
      </c>
      <c r="B21">
        <v>2</v>
      </c>
      <c r="C21" t="s">
        <v>13</v>
      </c>
      <c r="D21" s="2">
        <v>0.44444444444444442</v>
      </c>
      <c r="E21">
        <v>11569.13</v>
      </c>
      <c r="F21" s="2">
        <v>0.44513888888888886</v>
      </c>
      <c r="G21">
        <v>11548.88</v>
      </c>
      <c r="H21">
        <v>11577.23</v>
      </c>
      <c r="I21">
        <v>11548.88</v>
      </c>
      <c r="J21" t="s">
        <v>14</v>
      </c>
      <c r="K21">
        <v>20.25</v>
      </c>
      <c r="L21" s="9">
        <v>2.5</v>
      </c>
      <c r="M21">
        <v>1</v>
      </c>
      <c r="N21">
        <f t="shared" si="0"/>
        <v>0</v>
      </c>
      <c r="O21">
        <f t="shared" si="1"/>
        <v>2</v>
      </c>
    </row>
    <row r="22" spans="1:15" x14ac:dyDescent="0.2">
      <c r="A22" s="1">
        <v>44944</v>
      </c>
      <c r="B22">
        <v>3</v>
      </c>
      <c r="C22" t="s">
        <v>13</v>
      </c>
      <c r="D22" s="2">
        <v>0.40833333333333333</v>
      </c>
      <c r="E22">
        <v>11620.58</v>
      </c>
      <c r="F22" s="2">
        <v>0.40902777777777777</v>
      </c>
      <c r="G22">
        <v>11628.72</v>
      </c>
      <c r="H22">
        <v>11628.72</v>
      </c>
      <c r="I22">
        <v>11600.25</v>
      </c>
      <c r="J22" t="s">
        <v>15</v>
      </c>
      <c r="K22">
        <v>-8.1300000000000008</v>
      </c>
      <c r="L22" s="9">
        <v>-1</v>
      </c>
      <c r="M22">
        <v>0</v>
      </c>
      <c r="N22">
        <f t="shared" si="0"/>
        <v>1</v>
      </c>
      <c r="O22">
        <f t="shared" si="1"/>
        <v>0</v>
      </c>
    </row>
    <row r="23" spans="1:15" x14ac:dyDescent="0.2">
      <c r="A23" s="1">
        <v>44944</v>
      </c>
      <c r="B23">
        <v>3</v>
      </c>
      <c r="C23" t="s">
        <v>16</v>
      </c>
      <c r="D23" s="2">
        <v>0.41944444444444445</v>
      </c>
      <c r="E23">
        <v>11667.85</v>
      </c>
      <c r="F23" s="2">
        <v>0.42083333333333334</v>
      </c>
      <c r="G23">
        <v>11688.27</v>
      </c>
      <c r="H23">
        <v>11659.68</v>
      </c>
      <c r="I23">
        <v>11688.27</v>
      </c>
      <c r="J23" t="s">
        <v>14</v>
      </c>
      <c r="K23">
        <v>20.420000000000002</v>
      </c>
      <c r="L23" s="9">
        <v>2.5</v>
      </c>
      <c r="M23">
        <v>1</v>
      </c>
      <c r="N23">
        <f t="shared" si="0"/>
        <v>0</v>
      </c>
      <c r="O23">
        <f t="shared" si="1"/>
        <v>1</v>
      </c>
    </row>
    <row r="24" spans="1:15" x14ac:dyDescent="0.2">
      <c r="A24" s="1">
        <v>44944</v>
      </c>
      <c r="B24">
        <v>3</v>
      </c>
      <c r="C24" t="s">
        <v>13</v>
      </c>
      <c r="D24" s="2">
        <v>0.44097222222222221</v>
      </c>
      <c r="E24">
        <v>11626.96</v>
      </c>
      <c r="F24" s="2">
        <v>0.44236111111111109</v>
      </c>
      <c r="G24">
        <v>11606.62</v>
      </c>
      <c r="H24">
        <v>11635.1</v>
      </c>
      <c r="I24">
        <v>11606.62</v>
      </c>
      <c r="J24" t="s">
        <v>14</v>
      </c>
      <c r="K24">
        <v>20.350000000000001</v>
      </c>
      <c r="L24" s="9">
        <v>2.5</v>
      </c>
      <c r="M24">
        <v>1</v>
      </c>
      <c r="N24">
        <f t="shared" si="0"/>
        <v>0</v>
      </c>
      <c r="O24">
        <f t="shared" si="1"/>
        <v>2</v>
      </c>
    </row>
    <row r="25" spans="1:15" x14ac:dyDescent="0.2">
      <c r="A25" s="1">
        <v>44945</v>
      </c>
      <c r="B25">
        <v>4</v>
      </c>
      <c r="C25" t="s">
        <v>16</v>
      </c>
      <c r="D25" s="2">
        <v>0.39930555555555558</v>
      </c>
      <c r="E25">
        <v>11357.74</v>
      </c>
      <c r="F25" s="2">
        <v>0.4</v>
      </c>
      <c r="G25">
        <v>11349.78</v>
      </c>
      <c r="H25">
        <v>11349.78</v>
      </c>
      <c r="I25">
        <v>11377.61</v>
      </c>
      <c r="J25" t="s">
        <v>15</v>
      </c>
      <c r="K25">
        <v>-7.95</v>
      </c>
      <c r="L25" s="9">
        <v>-1</v>
      </c>
      <c r="M25">
        <v>0</v>
      </c>
      <c r="N25">
        <f t="shared" si="0"/>
        <v>1</v>
      </c>
      <c r="O25">
        <f t="shared" si="1"/>
        <v>0</v>
      </c>
    </row>
    <row r="26" spans="1:15" x14ac:dyDescent="0.2">
      <c r="A26" s="1">
        <v>44945</v>
      </c>
      <c r="B26">
        <v>4</v>
      </c>
      <c r="C26" t="s">
        <v>13</v>
      </c>
      <c r="D26" s="2">
        <v>0.44097222222222221</v>
      </c>
      <c r="E26">
        <v>11304.5</v>
      </c>
      <c r="F26" s="2">
        <v>0.44305555555555554</v>
      </c>
      <c r="G26">
        <v>11312.41</v>
      </c>
      <c r="H26">
        <v>11312.41</v>
      </c>
      <c r="I26">
        <v>11284.71</v>
      </c>
      <c r="J26" t="s">
        <v>15</v>
      </c>
      <c r="K26">
        <v>-7.91</v>
      </c>
      <c r="L26" s="9">
        <v>-1</v>
      </c>
      <c r="M26">
        <v>0</v>
      </c>
      <c r="N26">
        <f t="shared" si="0"/>
        <v>2</v>
      </c>
      <c r="O26">
        <f t="shared" si="1"/>
        <v>0</v>
      </c>
    </row>
    <row r="27" spans="1:15" x14ac:dyDescent="0.2">
      <c r="A27" s="1">
        <v>44945</v>
      </c>
      <c r="B27">
        <v>4</v>
      </c>
      <c r="C27" t="s">
        <v>13</v>
      </c>
      <c r="D27" s="2">
        <v>0.45208333333333334</v>
      </c>
      <c r="E27">
        <v>11290.66</v>
      </c>
      <c r="F27" s="2">
        <v>0.4548611111111111</v>
      </c>
      <c r="G27">
        <v>11270.9</v>
      </c>
      <c r="H27">
        <v>11298.56</v>
      </c>
      <c r="I27">
        <v>11270.9</v>
      </c>
      <c r="J27" t="s">
        <v>14</v>
      </c>
      <c r="K27">
        <v>19.760000000000002</v>
      </c>
      <c r="L27" s="9">
        <v>2.5</v>
      </c>
      <c r="M27">
        <v>1</v>
      </c>
      <c r="N27">
        <f t="shared" si="0"/>
        <v>0</v>
      </c>
      <c r="O27">
        <f t="shared" si="1"/>
        <v>1</v>
      </c>
    </row>
    <row r="28" spans="1:15" x14ac:dyDescent="0.2">
      <c r="A28" s="1">
        <v>44946</v>
      </c>
      <c r="B28">
        <v>5</v>
      </c>
      <c r="C28" t="s">
        <v>16</v>
      </c>
      <c r="D28" s="2">
        <v>0.41249999999999998</v>
      </c>
      <c r="E28">
        <v>11394.38</v>
      </c>
      <c r="F28" s="2">
        <v>0.41666666666666669</v>
      </c>
      <c r="G28">
        <v>11386.4</v>
      </c>
      <c r="H28">
        <v>11386.4</v>
      </c>
      <c r="I28">
        <v>11414.32</v>
      </c>
      <c r="J28" t="s">
        <v>15</v>
      </c>
      <c r="K28">
        <v>-7.98</v>
      </c>
      <c r="L28" s="9">
        <v>-1</v>
      </c>
      <c r="M28">
        <v>0</v>
      </c>
      <c r="N28">
        <f t="shared" si="0"/>
        <v>1</v>
      </c>
      <c r="O28">
        <f t="shared" si="1"/>
        <v>0</v>
      </c>
    </row>
    <row r="29" spans="1:15" x14ac:dyDescent="0.2">
      <c r="A29" s="1">
        <v>44949</v>
      </c>
      <c r="B29">
        <v>1</v>
      </c>
      <c r="C29" t="s">
        <v>16</v>
      </c>
      <c r="D29" s="2">
        <v>0.40555555555555556</v>
      </c>
      <c r="E29">
        <v>11674.69</v>
      </c>
      <c r="F29" s="2">
        <v>0.40763888888888888</v>
      </c>
      <c r="G29">
        <v>11695.12</v>
      </c>
      <c r="H29">
        <v>11666.52</v>
      </c>
      <c r="I29">
        <v>11695.12</v>
      </c>
      <c r="J29" t="s">
        <v>14</v>
      </c>
      <c r="K29">
        <v>20.43</v>
      </c>
      <c r="L29" s="9">
        <v>2.5</v>
      </c>
      <c r="M29">
        <v>1</v>
      </c>
      <c r="N29">
        <f t="shared" si="0"/>
        <v>0</v>
      </c>
      <c r="O29">
        <f t="shared" si="1"/>
        <v>1</v>
      </c>
    </row>
    <row r="30" spans="1:15" x14ac:dyDescent="0.2">
      <c r="A30" s="1">
        <v>44951</v>
      </c>
      <c r="B30">
        <v>3</v>
      </c>
      <c r="C30" t="s">
        <v>13</v>
      </c>
      <c r="D30" s="2">
        <v>0.41180555555555554</v>
      </c>
      <c r="E30">
        <v>11621.32</v>
      </c>
      <c r="F30" s="2">
        <v>0.41249999999999998</v>
      </c>
      <c r="G30">
        <v>11600.98</v>
      </c>
      <c r="H30">
        <v>11629.46</v>
      </c>
      <c r="I30">
        <v>11600.98</v>
      </c>
      <c r="J30" t="s">
        <v>14</v>
      </c>
      <c r="K30">
        <v>20.34</v>
      </c>
      <c r="L30" s="9">
        <v>2.5</v>
      </c>
      <c r="M30">
        <v>1</v>
      </c>
      <c r="N30">
        <f t="shared" si="0"/>
        <v>0</v>
      </c>
      <c r="O30">
        <f t="shared" si="1"/>
        <v>2</v>
      </c>
    </row>
    <row r="31" spans="1:15" x14ac:dyDescent="0.2">
      <c r="A31" s="1">
        <v>44952</v>
      </c>
      <c r="B31">
        <v>4</v>
      </c>
      <c r="C31" t="s">
        <v>13</v>
      </c>
      <c r="D31" s="2">
        <v>0.42430555555555555</v>
      </c>
      <c r="E31">
        <v>11908.94</v>
      </c>
      <c r="F31" s="2">
        <v>0.42499999999999999</v>
      </c>
      <c r="G31">
        <v>11917.28</v>
      </c>
      <c r="H31">
        <v>11917.28</v>
      </c>
      <c r="I31">
        <v>11888.1</v>
      </c>
      <c r="J31" t="s">
        <v>15</v>
      </c>
      <c r="K31">
        <v>-8.34</v>
      </c>
      <c r="L31" s="9">
        <v>-1</v>
      </c>
      <c r="M31">
        <v>0</v>
      </c>
      <c r="N31">
        <f t="shared" si="0"/>
        <v>1</v>
      </c>
      <c r="O31">
        <f t="shared" si="1"/>
        <v>0</v>
      </c>
    </row>
    <row r="32" spans="1:15" x14ac:dyDescent="0.2">
      <c r="A32" s="1">
        <v>44952</v>
      </c>
      <c r="B32">
        <v>4</v>
      </c>
      <c r="C32" t="s">
        <v>13</v>
      </c>
      <c r="D32" s="2">
        <v>0.45763888888888887</v>
      </c>
      <c r="E32">
        <v>11868.68</v>
      </c>
      <c r="F32" s="2">
        <v>0.45902777777777776</v>
      </c>
      <c r="G32">
        <v>11876.99</v>
      </c>
      <c r="H32">
        <v>11876.99</v>
      </c>
      <c r="I32">
        <v>11847.91</v>
      </c>
      <c r="J32" t="s">
        <v>15</v>
      </c>
      <c r="K32">
        <v>-8.31</v>
      </c>
      <c r="L32" s="9">
        <v>-1</v>
      </c>
      <c r="M32">
        <v>0</v>
      </c>
      <c r="N32">
        <f t="shared" si="0"/>
        <v>2</v>
      </c>
      <c r="O32">
        <f t="shared" si="1"/>
        <v>0</v>
      </c>
    </row>
    <row r="33" spans="1:15" x14ac:dyDescent="0.2">
      <c r="A33" s="1">
        <v>44953</v>
      </c>
      <c r="B33">
        <v>5</v>
      </c>
      <c r="C33" t="s">
        <v>16</v>
      </c>
      <c r="D33" s="2">
        <v>0.4</v>
      </c>
      <c r="E33">
        <v>12023.03</v>
      </c>
      <c r="F33" s="2">
        <v>0.40486111111111112</v>
      </c>
      <c r="G33">
        <v>12044.07</v>
      </c>
      <c r="H33">
        <v>12014.61</v>
      </c>
      <c r="I33">
        <v>12044.07</v>
      </c>
      <c r="J33" t="s">
        <v>14</v>
      </c>
      <c r="K33">
        <v>21.04</v>
      </c>
      <c r="L33" s="9">
        <v>2.5</v>
      </c>
      <c r="M33">
        <v>1</v>
      </c>
      <c r="N33">
        <f t="shared" si="0"/>
        <v>0</v>
      </c>
      <c r="O33">
        <f t="shared" si="1"/>
        <v>1</v>
      </c>
    </row>
    <row r="34" spans="1:15" x14ac:dyDescent="0.2">
      <c r="A34" s="1">
        <v>44953</v>
      </c>
      <c r="B34">
        <v>5</v>
      </c>
      <c r="C34" t="s">
        <v>16</v>
      </c>
      <c r="D34" s="2">
        <v>0.44513888888888886</v>
      </c>
      <c r="E34">
        <v>12109.15</v>
      </c>
      <c r="F34" s="2">
        <v>0.4465277777777778</v>
      </c>
      <c r="G34">
        <v>12100.67</v>
      </c>
      <c r="H34">
        <v>12100.67</v>
      </c>
      <c r="I34">
        <v>12130.34</v>
      </c>
      <c r="J34" t="s">
        <v>15</v>
      </c>
      <c r="K34">
        <v>-8.48</v>
      </c>
      <c r="L34" s="9">
        <v>-1</v>
      </c>
      <c r="M34">
        <v>0</v>
      </c>
      <c r="N34">
        <f t="shared" si="0"/>
        <v>1</v>
      </c>
      <c r="O34">
        <f t="shared" si="1"/>
        <v>0</v>
      </c>
    </row>
    <row r="35" spans="1:15" x14ac:dyDescent="0.2">
      <c r="A35" s="1">
        <v>44953</v>
      </c>
      <c r="B35">
        <v>5</v>
      </c>
      <c r="C35" t="s">
        <v>13</v>
      </c>
      <c r="D35" s="2">
        <v>0.45624999999999999</v>
      </c>
      <c r="E35">
        <v>12051.72</v>
      </c>
      <c r="F35" s="2">
        <v>0.45694444444444443</v>
      </c>
      <c r="G35">
        <v>12060.15</v>
      </c>
      <c r="H35">
        <v>12060.15</v>
      </c>
      <c r="I35">
        <v>12030.62</v>
      </c>
      <c r="J35" t="s">
        <v>15</v>
      </c>
      <c r="K35">
        <v>-8.44</v>
      </c>
      <c r="L35" s="9">
        <v>-1</v>
      </c>
      <c r="M35">
        <v>0</v>
      </c>
      <c r="N35">
        <f t="shared" si="0"/>
        <v>2</v>
      </c>
      <c r="O35">
        <f t="shared" si="1"/>
        <v>0</v>
      </c>
    </row>
    <row r="36" spans="1:15" x14ac:dyDescent="0.2">
      <c r="A36" s="1">
        <v>44956</v>
      </c>
      <c r="B36">
        <v>1</v>
      </c>
      <c r="C36" t="s">
        <v>16</v>
      </c>
      <c r="D36" s="2">
        <v>0.42083333333333334</v>
      </c>
      <c r="E36">
        <v>12076.84</v>
      </c>
      <c r="F36" s="2">
        <v>0.42222222222222222</v>
      </c>
      <c r="G36">
        <v>12068.39</v>
      </c>
      <c r="H36">
        <v>12068.39</v>
      </c>
      <c r="I36">
        <v>12097.98</v>
      </c>
      <c r="J36" t="s">
        <v>15</v>
      </c>
      <c r="K36">
        <v>-8.4499999999999993</v>
      </c>
      <c r="L36" s="9">
        <v>-1</v>
      </c>
      <c r="M36">
        <v>0</v>
      </c>
      <c r="N36">
        <f t="shared" si="0"/>
        <v>3</v>
      </c>
      <c r="O36">
        <f t="shared" si="1"/>
        <v>0</v>
      </c>
    </row>
    <row r="37" spans="1:15" x14ac:dyDescent="0.2">
      <c r="A37" s="1">
        <v>44956</v>
      </c>
      <c r="B37">
        <v>1</v>
      </c>
      <c r="C37" t="s">
        <v>13</v>
      </c>
      <c r="D37" s="2">
        <v>0.43680555555555556</v>
      </c>
      <c r="E37">
        <v>11993.34</v>
      </c>
      <c r="F37" s="2">
        <v>0.44027777777777777</v>
      </c>
      <c r="G37">
        <v>11972.36</v>
      </c>
      <c r="H37">
        <v>12001.74</v>
      </c>
      <c r="I37">
        <v>11972.36</v>
      </c>
      <c r="J37" t="s">
        <v>14</v>
      </c>
      <c r="K37">
        <v>20.99</v>
      </c>
      <c r="L37" s="9">
        <v>2.5</v>
      </c>
      <c r="M37">
        <v>1</v>
      </c>
      <c r="N37">
        <f t="shared" si="0"/>
        <v>0</v>
      </c>
      <c r="O37">
        <f t="shared" si="1"/>
        <v>1</v>
      </c>
    </row>
    <row r="38" spans="1:15" x14ac:dyDescent="0.2">
      <c r="A38" s="1">
        <v>44959</v>
      </c>
      <c r="B38">
        <v>4</v>
      </c>
      <c r="C38" t="s">
        <v>16</v>
      </c>
      <c r="D38" s="2">
        <v>0.39652777777777776</v>
      </c>
      <c r="E38">
        <v>12636.21</v>
      </c>
      <c r="F38" s="2">
        <v>0.39791666666666664</v>
      </c>
      <c r="G38">
        <v>12658.32</v>
      </c>
      <c r="H38">
        <v>12627.37</v>
      </c>
      <c r="I38">
        <v>12658.32</v>
      </c>
      <c r="J38" t="s">
        <v>14</v>
      </c>
      <c r="K38">
        <v>22.11</v>
      </c>
      <c r="L38" s="9">
        <v>2.5</v>
      </c>
      <c r="M38">
        <v>1</v>
      </c>
      <c r="N38">
        <f t="shared" si="0"/>
        <v>0</v>
      </c>
      <c r="O38">
        <f t="shared" si="1"/>
        <v>2</v>
      </c>
    </row>
    <row r="39" spans="1:15" x14ac:dyDescent="0.2">
      <c r="A39" s="1">
        <v>44959</v>
      </c>
      <c r="B39">
        <v>4</v>
      </c>
      <c r="C39" t="s">
        <v>16</v>
      </c>
      <c r="D39" s="2">
        <v>0.43472222222222223</v>
      </c>
      <c r="E39">
        <v>12675.43</v>
      </c>
      <c r="F39" s="2">
        <v>0.4375</v>
      </c>
      <c r="G39">
        <v>12697.61</v>
      </c>
      <c r="H39">
        <v>12666.55</v>
      </c>
      <c r="I39">
        <v>12697.61</v>
      </c>
      <c r="J39" t="s">
        <v>14</v>
      </c>
      <c r="K39">
        <v>22.18</v>
      </c>
      <c r="L39" s="9">
        <v>2.5</v>
      </c>
      <c r="M39">
        <v>1</v>
      </c>
      <c r="N39">
        <f t="shared" si="0"/>
        <v>0</v>
      </c>
      <c r="O39">
        <f t="shared" si="1"/>
        <v>3</v>
      </c>
    </row>
    <row r="40" spans="1:15" x14ac:dyDescent="0.2">
      <c r="A40" s="1">
        <v>44960</v>
      </c>
      <c r="B40">
        <v>5</v>
      </c>
      <c r="C40" t="s">
        <v>16</v>
      </c>
      <c r="D40" s="2">
        <v>0.40208333333333335</v>
      </c>
      <c r="E40">
        <v>12583.99</v>
      </c>
      <c r="F40" s="2">
        <v>0.40277777777777779</v>
      </c>
      <c r="G40">
        <v>12606.01</v>
      </c>
      <c r="H40">
        <v>12575.18</v>
      </c>
      <c r="I40">
        <v>12606.01</v>
      </c>
      <c r="J40" t="s">
        <v>14</v>
      </c>
      <c r="K40">
        <v>22.02</v>
      </c>
      <c r="L40" s="9">
        <v>2.5</v>
      </c>
      <c r="M40">
        <v>1</v>
      </c>
      <c r="N40">
        <f t="shared" si="0"/>
        <v>0</v>
      </c>
      <c r="O40">
        <f t="shared" si="1"/>
        <v>4</v>
      </c>
    </row>
    <row r="41" spans="1:15" x14ac:dyDescent="0.2">
      <c r="A41" s="1">
        <v>44960</v>
      </c>
      <c r="B41">
        <v>5</v>
      </c>
      <c r="C41" t="s">
        <v>16</v>
      </c>
      <c r="D41" s="2">
        <v>0.42986111111111114</v>
      </c>
      <c r="E41">
        <v>12726.92</v>
      </c>
      <c r="F41" s="2">
        <v>0.43055555555555558</v>
      </c>
      <c r="G41">
        <v>12749.19</v>
      </c>
      <c r="H41">
        <v>12718.01</v>
      </c>
      <c r="I41">
        <v>12749.19</v>
      </c>
      <c r="J41" t="s">
        <v>14</v>
      </c>
      <c r="K41">
        <v>22.27</v>
      </c>
      <c r="L41" s="9">
        <v>2.5</v>
      </c>
      <c r="M41">
        <v>1</v>
      </c>
      <c r="N41">
        <f t="shared" si="0"/>
        <v>0</v>
      </c>
      <c r="O41">
        <f t="shared" si="1"/>
        <v>5</v>
      </c>
    </row>
    <row r="42" spans="1:15" x14ac:dyDescent="0.2">
      <c r="A42" s="1">
        <v>44963</v>
      </c>
      <c r="B42">
        <v>1</v>
      </c>
      <c r="C42" t="s">
        <v>16</v>
      </c>
      <c r="D42" s="2">
        <v>0.4</v>
      </c>
      <c r="E42">
        <v>12494.26</v>
      </c>
      <c r="F42" s="2">
        <v>0.40069444444444446</v>
      </c>
      <c r="G42">
        <v>12485.52</v>
      </c>
      <c r="H42">
        <v>12485.52</v>
      </c>
      <c r="I42">
        <v>12516.13</v>
      </c>
      <c r="J42" t="s">
        <v>15</v>
      </c>
      <c r="K42">
        <v>-8.75</v>
      </c>
      <c r="L42" s="9">
        <v>-1</v>
      </c>
      <c r="M42">
        <v>0</v>
      </c>
      <c r="N42">
        <f t="shared" si="0"/>
        <v>1</v>
      </c>
      <c r="O42">
        <f t="shared" si="1"/>
        <v>0</v>
      </c>
    </row>
    <row r="43" spans="1:15" x14ac:dyDescent="0.2">
      <c r="A43" s="1">
        <v>44963</v>
      </c>
      <c r="B43">
        <v>1</v>
      </c>
      <c r="C43" t="s">
        <v>13</v>
      </c>
      <c r="D43" s="2">
        <v>0.43333333333333335</v>
      </c>
      <c r="E43">
        <v>12449.78</v>
      </c>
      <c r="F43" s="2">
        <v>0.43611111111111112</v>
      </c>
      <c r="G43">
        <v>12427.99</v>
      </c>
      <c r="H43">
        <v>12458.49</v>
      </c>
      <c r="I43">
        <v>12427.99</v>
      </c>
      <c r="J43" t="s">
        <v>14</v>
      </c>
      <c r="K43">
        <v>21.79</v>
      </c>
      <c r="L43" s="9">
        <v>2.5</v>
      </c>
      <c r="M43">
        <v>1</v>
      </c>
      <c r="N43">
        <f t="shared" si="0"/>
        <v>0</v>
      </c>
      <c r="O43">
        <f t="shared" si="1"/>
        <v>1</v>
      </c>
    </row>
    <row r="44" spans="1:15" x14ac:dyDescent="0.2">
      <c r="A44" s="1">
        <v>44963</v>
      </c>
      <c r="B44">
        <v>1</v>
      </c>
      <c r="C44" t="s">
        <v>16</v>
      </c>
      <c r="D44" s="2">
        <v>0.4548611111111111</v>
      </c>
      <c r="E44">
        <v>12491.58</v>
      </c>
      <c r="F44" s="2">
        <v>0.46250000000000002</v>
      </c>
      <c r="G44">
        <v>12513.44</v>
      </c>
      <c r="H44">
        <v>12482.83</v>
      </c>
      <c r="I44">
        <v>12513.44</v>
      </c>
      <c r="J44" t="s">
        <v>14</v>
      </c>
      <c r="K44">
        <v>21.86</v>
      </c>
      <c r="L44" s="9">
        <v>2.5</v>
      </c>
      <c r="M44">
        <v>1</v>
      </c>
      <c r="N44">
        <f t="shared" si="0"/>
        <v>0</v>
      </c>
      <c r="O44">
        <f t="shared" si="1"/>
        <v>2</v>
      </c>
    </row>
    <row r="45" spans="1:15" x14ac:dyDescent="0.2">
      <c r="A45" s="1">
        <v>44964</v>
      </c>
      <c r="B45">
        <v>2</v>
      </c>
      <c r="C45" t="s">
        <v>13</v>
      </c>
      <c r="D45" s="2">
        <v>0.42499999999999999</v>
      </c>
      <c r="E45">
        <v>12447.6</v>
      </c>
      <c r="F45" s="2">
        <v>0.42638888888888887</v>
      </c>
      <c r="G45">
        <v>12456.31</v>
      </c>
      <c r="H45">
        <v>12456.31</v>
      </c>
      <c r="I45">
        <v>12425.82</v>
      </c>
      <c r="J45" t="s">
        <v>15</v>
      </c>
      <c r="K45">
        <v>-8.7100000000000009</v>
      </c>
      <c r="L45" s="9">
        <v>-1</v>
      </c>
      <c r="M45">
        <v>0</v>
      </c>
      <c r="N45">
        <f t="shared" si="0"/>
        <v>1</v>
      </c>
      <c r="O45">
        <f t="shared" si="1"/>
        <v>0</v>
      </c>
    </row>
    <row r="46" spans="1:15" x14ac:dyDescent="0.2">
      <c r="A46" s="1">
        <v>44964</v>
      </c>
      <c r="B46">
        <v>2</v>
      </c>
      <c r="C46" t="s">
        <v>16</v>
      </c>
      <c r="D46" s="2">
        <v>0.44930555555555557</v>
      </c>
      <c r="E46">
        <v>12483.07</v>
      </c>
      <c r="F46" s="2">
        <v>0.45624999999999999</v>
      </c>
      <c r="G46">
        <v>12474.33</v>
      </c>
      <c r="H46">
        <v>12474.33</v>
      </c>
      <c r="I46">
        <v>12504.92</v>
      </c>
      <c r="J46" t="s">
        <v>15</v>
      </c>
      <c r="K46">
        <v>-8.74</v>
      </c>
      <c r="L46" s="9">
        <v>-1</v>
      </c>
      <c r="M46">
        <v>0</v>
      </c>
      <c r="N46">
        <f t="shared" si="0"/>
        <v>2</v>
      </c>
      <c r="O46">
        <f t="shared" si="1"/>
        <v>0</v>
      </c>
    </row>
    <row r="47" spans="1:15" x14ac:dyDescent="0.2">
      <c r="A47" s="1">
        <v>44965</v>
      </c>
      <c r="B47">
        <v>3</v>
      </c>
      <c r="C47" t="s">
        <v>13</v>
      </c>
      <c r="D47" s="2">
        <v>0.44236111111111109</v>
      </c>
      <c r="E47">
        <v>12574.85</v>
      </c>
      <c r="F47" s="2">
        <v>0.44305555555555554</v>
      </c>
      <c r="G47">
        <v>12583.65</v>
      </c>
      <c r="H47">
        <v>12583.65</v>
      </c>
      <c r="I47">
        <v>12552.84</v>
      </c>
      <c r="J47" t="s">
        <v>15</v>
      </c>
      <c r="K47">
        <v>-8.8000000000000007</v>
      </c>
      <c r="L47" s="9">
        <v>-1</v>
      </c>
      <c r="M47">
        <v>0</v>
      </c>
      <c r="N47">
        <f t="shared" si="0"/>
        <v>3</v>
      </c>
      <c r="O47">
        <f t="shared" si="1"/>
        <v>0</v>
      </c>
    </row>
    <row r="48" spans="1:15" x14ac:dyDescent="0.2">
      <c r="A48" s="1">
        <v>44966</v>
      </c>
      <c r="B48">
        <v>4</v>
      </c>
      <c r="C48" t="s">
        <v>13</v>
      </c>
      <c r="D48" s="2">
        <v>0.40625</v>
      </c>
      <c r="E48">
        <v>12606.43</v>
      </c>
      <c r="F48" s="2">
        <v>0.40694444444444444</v>
      </c>
      <c r="G48">
        <v>12615.25</v>
      </c>
      <c r="H48">
        <v>12615.25</v>
      </c>
      <c r="I48">
        <v>12584.37</v>
      </c>
      <c r="J48" t="s">
        <v>15</v>
      </c>
      <c r="K48">
        <v>-8.82</v>
      </c>
      <c r="L48" s="9">
        <v>-1</v>
      </c>
      <c r="M48">
        <v>0</v>
      </c>
      <c r="N48">
        <f t="shared" si="0"/>
        <v>4</v>
      </c>
      <c r="O48">
        <f t="shared" si="1"/>
        <v>0</v>
      </c>
    </row>
    <row r="49" spans="1:15" x14ac:dyDescent="0.2">
      <c r="A49" s="1">
        <v>44966</v>
      </c>
      <c r="B49">
        <v>4</v>
      </c>
      <c r="C49" t="s">
        <v>13</v>
      </c>
      <c r="D49" s="2">
        <v>0.43958333333333333</v>
      </c>
      <c r="E49">
        <v>12588.23</v>
      </c>
      <c r="F49" s="2">
        <v>0.44027777777777777</v>
      </c>
      <c r="G49">
        <v>12597.05</v>
      </c>
      <c r="H49">
        <v>12597.05</v>
      </c>
      <c r="I49">
        <v>12566.2</v>
      </c>
      <c r="J49" t="s">
        <v>15</v>
      </c>
      <c r="K49">
        <v>-8.81</v>
      </c>
      <c r="L49" s="9">
        <v>-1</v>
      </c>
      <c r="M49">
        <v>0</v>
      </c>
      <c r="N49">
        <f t="shared" si="0"/>
        <v>5</v>
      </c>
      <c r="O49">
        <f t="shared" si="1"/>
        <v>0</v>
      </c>
    </row>
    <row r="50" spans="1:15" x14ac:dyDescent="0.2">
      <c r="A50" s="1">
        <v>44967</v>
      </c>
      <c r="B50">
        <v>5</v>
      </c>
      <c r="C50" t="s">
        <v>16</v>
      </c>
      <c r="D50" s="2">
        <v>0.39861111111111114</v>
      </c>
      <c r="E50">
        <v>12318.43</v>
      </c>
      <c r="F50" s="2">
        <v>0.39930555555555558</v>
      </c>
      <c r="G50">
        <v>12339.98</v>
      </c>
      <c r="H50">
        <v>12309.8</v>
      </c>
      <c r="I50">
        <v>12339.98</v>
      </c>
      <c r="J50" t="s">
        <v>14</v>
      </c>
      <c r="K50">
        <v>21.56</v>
      </c>
      <c r="L50" s="9">
        <v>2.5</v>
      </c>
      <c r="M50">
        <v>1</v>
      </c>
      <c r="N50">
        <f t="shared" si="0"/>
        <v>0</v>
      </c>
      <c r="O50">
        <f t="shared" si="1"/>
        <v>1</v>
      </c>
    </row>
    <row r="51" spans="1:15" x14ac:dyDescent="0.2">
      <c r="A51" s="1">
        <v>44967</v>
      </c>
      <c r="B51">
        <v>5</v>
      </c>
      <c r="C51" t="s">
        <v>16</v>
      </c>
      <c r="D51" s="2">
        <v>0.43125000000000002</v>
      </c>
      <c r="E51">
        <v>12352.72</v>
      </c>
      <c r="F51" s="2">
        <v>0.43194444444444446</v>
      </c>
      <c r="G51">
        <v>12374.34</v>
      </c>
      <c r="H51">
        <v>12344.08</v>
      </c>
      <c r="I51">
        <v>12374.34</v>
      </c>
      <c r="J51" t="s">
        <v>14</v>
      </c>
      <c r="K51">
        <v>21.62</v>
      </c>
      <c r="L51" s="9">
        <v>2.5</v>
      </c>
      <c r="M51">
        <v>1</v>
      </c>
      <c r="N51">
        <f t="shared" si="0"/>
        <v>0</v>
      </c>
      <c r="O51">
        <f t="shared" si="1"/>
        <v>2</v>
      </c>
    </row>
    <row r="52" spans="1:15" x14ac:dyDescent="0.2">
      <c r="A52" s="1">
        <v>44967</v>
      </c>
      <c r="B52">
        <v>5</v>
      </c>
      <c r="C52" t="s">
        <v>13</v>
      </c>
      <c r="D52" s="2">
        <v>0.45069444444444445</v>
      </c>
      <c r="E52">
        <v>12302.89</v>
      </c>
      <c r="F52" s="2">
        <v>0.45277777777777778</v>
      </c>
      <c r="G52">
        <v>12281.36</v>
      </c>
      <c r="H52">
        <v>12311.51</v>
      </c>
      <c r="I52">
        <v>12281.36</v>
      </c>
      <c r="J52" t="s">
        <v>14</v>
      </c>
      <c r="K52">
        <v>21.53</v>
      </c>
      <c r="L52" s="9">
        <v>2.5</v>
      </c>
      <c r="M52">
        <v>1</v>
      </c>
      <c r="N52">
        <f t="shared" si="0"/>
        <v>0</v>
      </c>
      <c r="O52">
        <f t="shared" si="1"/>
        <v>3</v>
      </c>
    </row>
    <row r="53" spans="1:15" x14ac:dyDescent="0.2">
      <c r="A53" s="1">
        <v>44970</v>
      </c>
      <c r="B53">
        <v>1</v>
      </c>
      <c r="C53" t="s">
        <v>16</v>
      </c>
      <c r="D53" s="2">
        <v>0.41875000000000001</v>
      </c>
      <c r="E53">
        <v>12413.72</v>
      </c>
      <c r="F53" s="2">
        <v>0.41944444444444445</v>
      </c>
      <c r="G53">
        <v>12405.03</v>
      </c>
      <c r="H53">
        <v>12405.03</v>
      </c>
      <c r="I53">
        <v>12435.44</v>
      </c>
      <c r="J53" t="s">
        <v>15</v>
      </c>
      <c r="K53">
        <v>-8.69</v>
      </c>
      <c r="L53" s="9">
        <v>-1</v>
      </c>
      <c r="M53">
        <v>0</v>
      </c>
      <c r="N53">
        <f t="shared" si="0"/>
        <v>1</v>
      </c>
      <c r="O53">
        <f t="shared" si="1"/>
        <v>0</v>
      </c>
    </row>
    <row r="54" spans="1:15" x14ac:dyDescent="0.2">
      <c r="A54" s="1">
        <v>44970</v>
      </c>
      <c r="B54">
        <v>1</v>
      </c>
      <c r="C54" t="s">
        <v>16</v>
      </c>
      <c r="D54" s="2">
        <v>0.43819444444444444</v>
      </c>
      <c r="E54">
        <v>12413.06</v>
      </c>
      <c r="F54" s="2">
        <v>0.45069444444444445</v>
      </c>
      <c r="G54">
        <v>12434.78</v>
      </c>
      <c r="H54">
        <v>12404.37</v>
      </c>
      <c r="I54">
        <v>12434.78</v>
      </c>
      <c r="J54" t="s">
        <v>14</v>
      </c>
      <c r="K54">
        <v>21.72</v>
      </c>
      <c r="L54" s="9">
        <v>2.5</v>
      </c>
      <c r="M54">
        <v>1</v>
      </c>
      <c r="N54">
        <f t="shared" si="0"/>
        <v>0</v>
      </c>
      <c r="O54">
        <f t="shared" si="1"/>
        <v>1</v>
      </c>
    </row>
    <row r="55" spans="1:15" x14ac:dyDescent="0.2">
      <c r="A55" s="1">
        <v>44971</v>
      </c>
      <c r="B55">
        <v>2</v>
      </c>
      <c r="C55" t="s">
        <v>13</v>
      </c>
      <c r="D55" s="2">
        <v>0.39861111111111114</v>
      </c>
      <c r="E55">
        <v>12385.31</v>
      </c>
      <c r="F55" s="2">
        <v>0.39930555555555558</v>
      </c>
      <c r="G55">
        <v>12393.98</v>
      </c>
      <c r="H55">
        <v>12393.98</v>
      </c>
      <c r="I55">
        <v>12363.64</v>
      </c>
      <c r="J55" t="s">
        <v>15</v>
      </c>
      <c r="K55">
        <v>-8.67</v>
      </c>
      <c r="L55" s="9">
        <v>-1</v>
      </c>
      <c r="M55">
        <v>0</v>
      </c>
      <c r="N55">
        <f t="shared" si="0"/>
        <v>1</v>
      </c>
      <c r="O55">
        <f t="shared" si="1"/>
        <v>0</v>
      </c>
    </row>
    <row r="56" spans="1:15" x14ac:dyDescent="0.2">
      <c r="A56" s="1">
        <v>44971</v>
      </c>
      <c r="B56">
        <v>2</v>
      </c>
      <c r="C56" t="s">
        <v>16</v>
      </c>
      <c r="D56" s="2">
        <v>0.41041666666666665</v>
      </c>
      <c r="E56">
        <v>12499.81</v>
      </c>
      <c r="F56" s="2">
        <v>0.41180555555555554</v>
      </c>
      <c r="G56">
        <v>12491.06</v>
      </c>
      <c r="H56">
        <v>12491.06</v>
      </c>
      <c r="I56">
        <v>12521.69</v>
      </c>
      <c r="J56" t="s">
        <v>15</v>
      </c>
      <c r="K56">
        <v>-8.75</v>
      </c>
      <c r="L56" s="9">
        <v>-1</v>
      </c>
      <c r="M56">
        <v>0</v>
      </c>
      <c r="N56">
        <f t="shared" si="0"/>
        <v>2</v>
      </c>
      <c r="O56">
        <f t="shared" si="1"/>
        <v>0</v>
      </c>
    </row>
    <row r="57" spans="1:15" x14ac:dyDescent="0.2">
      <c r="A57" s="1">
        <v>44971</v>
      </c>
      <c r="B57">
        <v>2</v>
      </c>
      <c r="C57" t="s">
        <v>13</v>
      </c>
      <c r="D57" s="2">
        <v>0.44722222222222224</v>
      </c>
      <c r="E57">
        <v>12447.36</v>
      </c>
      <c r="F57" s="2">
        <v>0.44791666666666669</v>
      </c>
      <c r="G57">
        <v>12425.57</v>
      </c>
      <c r="H57">
        <v>12456.07</v>
      </c>
      <c r="I57">
        <v>12425.57</v>
      </c>
      <c r="J57" t="s">
        <v>14</v>
      </c>
      <c r="K57">
        <v>21.78</v>
      </c>
      <c r="L57" s="9">
        <v>2.5</v>
      </c>
      <c r="M57">
        <v>1</v>
      </c>
      <c r="N57">
        <f t="shared" si="0"/>
        <v>0</v>
      </c>
      <c r="O57">
        <f t="shared" si="1"/>
        <v>1</v>
      </c>
    </row>
    <row r="58" spans="1:15" x14ac:dyDescent="0.2">
      <c r="A58" s="1">
        <v>44972</v>
      </c>
      <c r="B58">
        <v>3</v>
      </c>
      <c r="C58" t="s">
        <v>16</v>
      </c>
      <c r="D58" s="2">
        <v>0.41041666666666665</v>
      </c>
      <c r="E58">
        <v>12566.77</v>
      </c>
      <c r="F58" s="2">
        <v>0.41111111111111109</v>
      </c>
      <c r="G58">
        <v>12557.98</v>
      </c>
      <c r="H58">
        <v>12557.98</v>
      </c>
      <c r="I58">
        <v>12588.77</v>
      </c>
      <c r="J58" t="s">
        <v>15</v>
      </c>
      <c r="K58">
        <v>-8.8000000000000007</v>
      </c>
      <c r="L58" s="9">
        <v>-1</v>
      </c>
      <c r="M58">
        <v>0</v>
      </c>
      <c r="N58">
        <f t="shared" si="0"/>
        <v>1</v>
      </c>
      <c r="O58">
        <f t="shared" si="1"/>
        <v>0</v>
      </c>
    </row>
    <row r="59" spans="1:15" x14ac:dyDescent="0.2">
      <c r="A59" s="1">
        <v>44972</v>
      </c>
      <c r="B59">
        <v>3</v>
      </c>
      <c r="C59" t="s">
        <v>13</v>
      </c>
      <c r="D59" s="2">
        <v>0.4236111111111111</v>
      </c>
      <c r="E59">
        <v>12508.89</v>
      </c>
      <c r="F59" s="2">
        <v>0.42499999999999999</v>
      </c>
      <c r="G59">
        <v>12487</v>
      </c>
      <c r="H59">
        <v>12517.64</v>
      </c>
      <c r="I59">
        <v>12487</v>
      </c>
      <c r="J59" t="s">
        <v>14</v>
      </c>
      <c r="K59">
        <v>21.89</v>
      </c>
      <c r="L59" s="9">
        <v>2.5</v>
      </c>
      <c r="M59">
        <v>1</v>
      </c>
      <c r="N59">
        <f t="shared" si="0"/>
        <v>0</v>
      </c>
      <c r="O59">
        <f t="shared" si="1"/>
        <v>1</v>
      </c>
    </row>
    <row r="60" spans="1:15" x14ac:dyDescent="0.2">
      <c r="A60" s="1">
        <v>44972</v>
      </c>
      <c r="B60">
        <v>3</v>
      </c>
      <c r="C60" t="s">
        <v>16</v>
      </c>
      <c r="D60" s="2">
        <v>0.44097222222222221</v>
      </c>
      <c r="E60">
        <v>12553.66</v>
      </c>
      <c r="F60" s="2">
        <v>0.44166666666666665</v>
      </c>
      <c r="G60">
        <v>12544.87</v>
      </c>
      <c r="H60">
        <v>12544.87</v>
      </c>
      <c r="I60">
        <v>12575.63</v>
      </c>
      <c r="J60" t="s">
        <v>15</v>
      </c>
      <c r="K60">
        <v>-8.7899999999999991</v>
      </c>
      <c r="L60" s="9">
        <v>-1</v>
      </c>
      <c r="M60">
        <v>0</v>
      </c>
      <c r="N60">
        <f t="shared" si="0"/>
        <v>1</v>
      </c>
      <c r="O60">
        <f t="shared" si="1"/>
        <v>0</v>
      </c>
    </row>
    <row r="61" spans="1:15" x14ac:dyDescent="0.2">
      <c r="A61" s="1">
        <v>44973</v>
      </c>
      <c r="B61">
        <v>4</v>
      </c>
      <c r="C61" t="s">
        <v>16</v>
      </c>
      <c r="D61" s="2">
        <v>0.41319444444444442</v>
      </c>
      <c r="E61">
        <v>12526.44</v>
      </c>
      <c r="F61" s="2">
        <v>0.41597222222222224</v>
      </c>
      <c r="G61">
        <v>12517.67</v>
      </c>
      <c r="H61">
        <v>12517.67</v>
      </c>
      <c r="I61">
        <v>12548.36</v>
      </c>
      <c r="J61" t="s">
        <v>15</v>
      </c>
      <c r="K61">
        <v>-8.77</v>
      </c>
      <c r="L61" s="9">
        <v>-1</v>
      </c>
      <c r="M61">
        <v>0</v>
      </c>
      <c r="N61">
        <f t="shared" si="0"/>
        <v>2</v>
      </c>
      <c r="O61">
        <f t="shared" si="1"/>
        <v>0</v>
      </c>
    </row>
    <row r="62" spans="1:15" x14ac:dyDescent="0.2">
      <c r="A62" s="1">
        <v>44973</v>
      </c>
      <c r="B62">
        <v>4</v>
      </c>
      <c r="C62" t="s">
        <v>16</v>
      </c>
      <c r="D62" s="2">
        <v>0.42569444444444443</v>
      </c>
      <c r="E62">
        <v>12541.14</v>
      </c>
      <c r="F62" s="2">
        <v>0.42638888888888887</v>
      </c>
      <c r="G62">
        <v>12532.36</v>
      </c>
      <c r="H62">
        <v>12532.36</v>
      </c>
      <c r="I62">
        <v>12563.08</v>
      </c>
      <c r="J62" t="s">
        <v>15</v>
      </c>
      <c r="K62">
        <v>-8.7799999999999994</v>
      </c>
      <c r="L62" s="9">
        <v>-1</v>
      </c>
      <c r="M62">
        <v>0</v>
      </c>
      <c r="N62">
        <f t="shared" si="0"/>
        <v>3</v>
      </c>
      <c r="O62">
        <f t="shared" si="1"/>
        <v>0</v>
      </c>
    </row>
    <row r="63" spans="1:15" x14ac:dyDescent="0.2">
      <c r="A63" s="1">
        <v>44974</v>
      </c>
      <c r="B63">
        <v>5</v>
      </c>
      <c r="C63" t="s">
        <v>13</v>
      </c>
      <c r="D63" s="2">
        <v>0.41041666666666665</v>
      </c>
      <c r="E63">
        <v>12285.31</v>
      </c>
      <c r="F63" s="2">
        <v>0.41249999999999998</v>
      </c>
      <c r="G63">
        <v>12263.82</v>
      </c>
      <c r="H63">
        <v>12293.91</v>
      </c>
      <c r="I63">
        <v>12263.82</v>
      </c>
      <c r="J63" t="s">
        <v>14</v>
      </c>
      <c r="K63">
        <v>21.5</v>
      </c>
      <c r="L63" s="9">
        <v>2.5</v>
      </c>
      <c r="M63">
        <v>1</v>
      </c>
      <c r="N63">
        <f t="shared" si="0"/>
        <v>0</v>
      </c>
      <c r="O63">
        <f t="shared" si="1"/>
        <v>1</v>
      </c>
    </row>
    <row r="64" spans="1:15" x14ac:dyDescent="0.2">
      <c r="A64" s="1">
        <v>44974</v>
      </c>
      <c r="B64">
        <v>5</v>
      </c>
      <c r="C64" t="s">
        <v>16</v>
      </c>
      <c r="D64" s="2">
        <v>0.43194444444444446</v>
      </c>
      <c r="E64">
        <v>12345.87</v>
      </c>
      <c r="F64" s="2">
        <v>0.43263888888888891</v>
      </c>
      <c r="G64">
        <v>12337.23</v>
      </c>
      <c r="H64">
        <v>12337.23</v>
      </c>
      <c r="I64">
        <v>12367.47</v>
      </c>
      <c r="J64" t="s">
        <v>15</v>
      </c>
      <c r="K64">
        <v>-8.64</v>
      </c>
      <c r="L64" s="9">
        <v>-1</v>
      </c>
      <c r="M64">
        <v>0</v>
      </c>
      <c r="N64">
        <f t="shared" si="0"/>
        <v>1</v>
      </c>
      <c r="O64">
        <f t="shared" si="1"/>
        <v>0</v>
      </c>
    </row>
    <row r="65" spans="1:15" x14ac:dyDescent="0.2">
      <c r="A65" s="1">
        <v>44974</v>
      </c>
      <c r="B65">
        <v>5</v>
      </c>
      <c r="C65" t="s">
        <v>13</v>
      </c>
      <c r="D65" s="2">
        <v>0.45416666666666666</v>
      </c>
      <c r="E65">
        <v>12296.41</v>
      </c>
      <c r="F65" s="2">
        <v>0.4597222222222222</v>
      </c>
      <c r="G65">
        <v>12274.89</v>
      </c>
      <c r="H65">
        <v>12305.02</v>
      </c>
      <c r="I65">
        <v>12274.89</v>
      </c>
      <c r="J65" t="s">
        <v>14</v>
      </c>
      <c r="K65">
        <v>21.52</v>
      </c>
      <c r="L65" s="9">
        <v>2.5</v>
      </c>
      <c r="M65">
        <v>1</v>
      </c>
      <c r="N65">
        <f t="shared" si="0"/>
        <v>0</v>
      </c>
      <c r="O65">
        <f t="shared" si="1"/>
        <v>1</v>
      </c>
    </row>
    <row r="66" spans="1:15" x14ac:dyDescent="0.2">
      <c r="A66" s="1">
        <v>44977</v>
      </c>
      <c r="B66">
        <v>1</v>
      </c>
      <c r="C66" t="s">
        <v>13</v>
      </c>
      <c r="D66" s="2">
        <v>0.40069444444444446</v>
      </c>
      <c r="E66">
        <v>12352.09</v>
      </c>
      <c r="F66" s="2">
        <v>0.54097222222222219</v>
      </c>
      <c r="G66">
        <v>12330.47</v>
      </c>
      <c r="H66">
        <v>12360.74</v>
      </c>
      <c r="I66">
        <v>12330.47</v>
      </c>
      <c r="J66" t="s">
        <v>14</v>
      </c>
      <c r="K66">
        <v>21.62</v>
      </c>
      <c r="L66" s="9">
        <v>2.5</v>
      </c>
      <c r="M66">
        <v>1</v>
      </c>
      <c r="N66">
        <f t="shared" ref="N66:N129" si="2">IF(M66=0, IF(M65=0, N65+1, 1), 0)</f>
        <v>0</v>
      </c>
      <c r="O66">
        <f t="shared" ref="O66:O129" si="3">IF(M66=1, IF(M65=1, O65+1, 1), 0)</f>
        <v>2</v>
      </c>
    </row>
    <row r="67" spans="1:15" x14ac:dyDescent="0.2">
      <c r="A67" s="1">
        <v>44979</v>
      </c>
      <c r="B67">
        <v>3</v>
      </c>
      <c r="C67" t="s">
        <v>16</v>
      </c>
      <c r="D67" s="2">
        <v>0.40486111111111112</v>
      </c>
      <c r="E67">
        <v>12114.75</v>
      </c>
      <c r="F67" s="2">
        <v>0.40694444444444444</v>
      </c>
      <c r="G67">
        <v>12135.95</v>
      </c>
      <c r="H67">
        <v>12106.27</v>
      </c>
      <c r="I67">
        <v>12135.95</v>
      </c>
      <c r="J67" t="s">
        <v>14</v>
      </c>
      <c r="K67">
        <v>21.2</v>
      </c>
      <c r="L67" s="9">
        <v>2.5</v>
      </c>
      <c r="M67">
        <v>1</v>
      </c>
      <c r="N67">
        <f t="shared" si="2"/>
        <v>0</v>
      </c>
      <c r="O67">
        <f t="shared" si="3"/>
        <v>3</v>
      </c>
    </row>
    <row r="68" spans="1:15" x14ac:dyDescent="0.2">
      <c r="A68" s="1">
        <v>44979</v>
      </c>
      <c r="B68">
        <v>3</v>
      </c>
      <c r="C68" t="s">
        <v>13</v>
      </c>
      <c r="D68" s="2">
        <v>0.4201388888888889</v>
      </c>
      <c r="E68">
        <v>12069.81</v>
      </c>
      <c r="F68" s="2">
        <v>0.4236111111111111</v>
      </c>
      <c r="G68">
        <v>12048.69</v>
      </c>
      <c r="H68">
        <v>12078.26</v>
      </c>
      <c r="I68">
        <v>12048.69</v>
      </c>
      <c r="J68" t="s">
        <v>14</v>
      </c>
      <c r="K68">
        <v>21.12</v>
      </c>
      <c r="L68" s="9">
        <v>2.5</v>
      </c>
      <c r="M68">
        <v>1</v>
      </c>
      <c r="N68">
        <f t="shared" si="2"/>
        <v>0</v>
      </c>
      <c r="O68">
        <f t="shared" si="3"/>
        <v>4</v>
      </c>
    </row>
    <row r="69" spans="1:15" x14ac:dyDescent="0.2">
      <c r="A69" s="1">
        <v>44979</v>
      </c>
      <c r="B69">
        <v>3</v>
      </c>
      <c r="C69" t="s">
        <v>16</v>
      </c>
      <c r="D69" s="2">
        <v>0.45694444444444443</v>
      </c>
      <c r="E69">
        <v>12063.96</v>
      </c>
      <c r="F69" s="2">
        <v>0.46666666666666667</v>
      </c>
      <c r="G69">
        <v>12055.52</v>
      </c>
      <c r="H69">
        <v>12055.52</v>
      </c>
      <c r="I69">
        <v>12085.08</v>
      </c>
      <c r="J69" t="s">
        <v>15</v>
      </c>
      <c r="K69">
        <v>-8.44</v>
      </c>
      <c r="L69" s="9">
        <v>-1</v>
      </c>
      <c r="M69">
        <v>0</v>
      </c>
      <c r="N69">
        <f t="shared" si="2"/>
        <v>1</v>
      </c>
      <c r="O69">
        <f t="shared" si="3"/>
        <v>0</v>
      </c>
    </row>
    <row r="70" spans="1:15" x14ac:dyDescent="0.2">
      <c r="A70" s="1">
        <v>44980</v>
      </c>
      <c r="B70">
        <v>4</v>
      </c>
      <c r="C70" t="s">
        <v>13</v>
      </c>
      <c r="D70" s="2">
        <v>0.42569444444444443</v>
      </c>
      <c r="E70">
        <v>12150.01</v>
      </c>
      <c r="F70" s="2">
        <v>0.42638888888888887</v>
      </c>
      <c r="G70">
        <v>12158.51</v>
      </c>
      <c r="H70">
        <v>12158.51</v>
      </c>
      <c r="I70">
        <v>12128.75</v>
      </c>
      <c r="J70" t="s">
        <v>15</v>
      </c>
      <c r="K70">
        <v>-8.51</v>
      </c>
      <c r="L70" s="9">
        <v>-1</v>
      </c>
      <c r="M70">
        <v>0</v>
      </c>
      <c r="N70">
        <f t="shared" si="2"/>
        <v>2</v>
      </c>
      <c r="O70">
        <f t="shared" si="3"/>
        <v>0</v>
      </c>
    </row>
    <row r="71" spans="1:15" x14ac:dyDescent="0.2">
      <c r="A71" s="1">
        <v>44980</v>
      </c>
      <c r="B71">
        <v>4</v>
      </c>
      <c r="C71" t="s">
        <v>13</v>
      </c>
      <c r="D71" s="2">
        <v>0.45416666666666666</v>
      </c>
      <c r="E71">
        <v>12091.33</v>
      </c>
      <c r="F71" s="2">
        <v>0.45902777777777776</v>
      </c>
      <c r="G71">
        <v>12099.79</v>
      </c>
      <c r="H71">
        <v>12099.79</v>
      </c>
      <c r="I71">
        <v>12070.17</v>
      </c>
      <c r="J71" t="s">
        <v>15</v>
      </c>
      <c r="K71">
        <v>-8.4600000000000009</v>
      </c>
      <c r="L71" s="9">
        <v>-1</v>
      </c>
      <c r="M71">
        <v>0</v>
      </c>
      <c r="N71">
        <f t="shared" si="2"/>
        <v>3</v>
      </c>
      <c r="O71">
        <f t="shared" si="3"/>
        <v>0</v>
      </c>
    </row>
    <row r="72" spans="1:15" x14ac:dyDescent="0.2">
      <c r="A72" s="1">
        <v>44981</v>
      </c>
      <c r="B72">
        <v>5</v>
      </c>
      <c r="C72" t="s">
        <v>13</v>
      </c>
      <c r="D72" s="2">
        <v>0.41805555555555557</v>
      </c>
      <c r="E72">
        <v>11941.27</v>
      </c>
      <c r="F72" s="2">
        <v>0.41875000000000001</v>
      </c>
      <c r="G72">
        <v>11949.63</v>
      </c>
      <c r="H72">
        <v>11949.63</v>
      </c>
      <c r="I72">
        <v>11920.37</v>
      </c>
      <c r="J72" t="s">
        <v>15</v>
      </c>
      <c r="K72">
        <v>-8.36</v>
      </c>
      <c r="L72" s="9">
        <v>-1</v>
      </c>
      <c r="M72">
        <v>0</v>
      </c>
      <c r="N72">
        <f t="shared" si="2"/>
        <v>4</v>
      </c>
      <c r="O72">
        <f t="shared" si="3"/>
        <v>0</v>
      </c>
    </row>
    <row r="73" spans="1:15" x14ac:dyDescent="0.2">
      <c r="A73" s="1">
        <v>44981</v>
      </c>
      <c r="B73">
        <v>5</v>
      </c>
      <c r="C73" t="s">
        <v>13</v>
      </c>
      <c r="D73" s="2">
        <v>0.45624999999999999</v>
      </c>
      <c r="E73">
        <v>11901.4</v>
      </c>
      <c r="F73" s="2">
        <v>0.45763888888888887</v>
      </c>
      <c r="G73">
        <v>11909.73</v>
      </c>
      <c r="H73">
        <v>11909.73</v>
      </c>
      <c r="I73">
        <v>11880.57</v>
      </c>
      <c r="J73" t="s">
        <v>15</v>
      </c>
      <c r="K73">
        <v>-8.33</v>
      </c>
      <c r="L73" s="9">
        <v>-1</v>
      </c>
      <c r="M73">
        <v>0</v>
      </c>
      <c r="N73">
        <f t="shared" si="2"/>
        <v>5</v>
      </c>
      <c r="O73">
        <f t="shared" si="3"/>
        <v>0</v>
      </c>
    </row>
    <row r="74" spans="1:15" x14ac:dyDescent="0.2">
      <c r="A74" s="1">
        <v>44984</v>
      </c>
      <c r="B74">
        <v>1</v>
      </c>
      <c r="C74" t="s">
        <v>16</v>
      </c>
      <c r="D74" s="2">
        <v>0.42152777777777778</v>
      </c>
      <c r="E74">
        <v>12129.54</v>
      </c>
      <c r="F74" s="2">
        <v>0.42222222222222222</v>
      </c>
      <c r="G74">
        <v>12150.77</v>
      </c>
      <c r="H74">
        <v>12121.05</v>
      </c>
      <c r="I74">
        <v>12150.77</v>
      </c>
      <c r="J74" t="s">
        <v>14</v>
      </c>
      <c r="K74">
        <v>21.23</v>
      </c>
      <c r="L74" s="9">
        <v>2.5</v>
      </c>
      <c r="M74">
        <v>1</v>
      </c>
      <c r="N74">
        <f t="shared" si="2"/>
        <v>0</v>
      </c>
      <c r="O74">
        <f t="shared" si="3"/>
        <v>1</v>
      </c>
    </row>
    <row r="75" spans="1:15" x14ac:dyDescent="0.2">
      <c r="A75" s="1">
        <v>44984</v>
      </c>
      <c r="B75">
        <v>1</v>
      </c>
      <c r="C75" t="s">
        <v>13</v>
      </c>
      <c r="D75" s="2">
        <v>0.44722222222222224</v>
      </c>
      <c r="E75">
        <v>12071.14</v>
      </c>
      <c r="F75" s="2">
        <v>0.4513888888888889</v>
      </c>
      <c r="G75">
        <v>12079.59</v>
      </c>
      <c r="H75">
        <v>12079.59</v>
      </c>
      <c r="I75">
        <v>12050.02</v>
      </c>
      <c r="J75" t="s">
        <v>15</v>
      </c>
      <c r="K75">
        <v>-8.4499999999999993</v>
      </c>
      <c r="L75" s="9">
        <v>-1</v>
      </c>
      <c r="M75">
        <v>0</v>
      </c>
      <c r="N75">
        <f t="shared" si="2"/>
        <v>1</v>
      </c>
      <c r="O75">
        <f t="shared" si="3"/>
        <v>0</v>
      </c>
    </row>
    <row r="76" spans="1:15" x14ac:dyDescent="0.2">
      <c r="A76" s="1">
        <v>44987</v>
      </c>
      <c r="B76">
        <v>4</v>
      </c>
      <c r="C76" t="s">
        <v>16</v>
      </c>
      <c r="D76" s="2">
        <v>0.3972222222222222</v>
      </c>
      <c r="E76">
        <v>11836.87</v>
      </c>
      <c r="F76" s="2">
        <v>0.39861111111111114</v>
      </c>
      <c r="G76">
        <v>11857.59</v>
      </c>
      <c r="H76">
        <v>11828.59</v>
      </c>
      <c r="I76">
        <v>11857.59</v>
      </c>
      <c r="J76" t="s">
        <v>14</v>
      </c>
      <c r="K76">
        <v>20.71</v>
      </c>
      <c r="L76" s="9">
        <v>2.5</v>
      </c>
      <c r="M76">
        <v>1</v>
      </c>
      <c r="N76">
        <f t="shared" si="2"/>
        <v>0</v>
      </c>
      <c r="O76">
        <f t="shared" si="3"/>
        <v>1</v>
      </c>
    </row>
    <row r="77" spans="1:15" x14ac:dyDescent="0.2">
      <c r="A77" s="1">
        <v>44987</v>
      </c>
      <c r="B77">
        <v>4</v>
      </c>
      <c r="C77" t="s">
        <v>16</v>
      </c>
      <c r="D77" s="2">
        <v>0.45555555555555555</v>
      </c>
      <c r="E77">
        <v>11903.04</v>
      </c>
      <c r="F77" s="2">
        <v>0.46180555555555558</v>
      </c>
      <c r="G77">
        <v>11894.71</v>
      </c>
      <c r="H77">
        <v>11894.71</v>
      </c>
      <c r="I77">
        <v>11923.87</v>
      </c>
      <c r="J77" t="s">
        <v>15</v>
      </c>
      <c r="K77">
        <v>-8.33</v>
      </c>
      <c r="L77" s="9">
        <v>-1</v>
      </c>
      <c r="M77">
        <v>0</v>
      </c>
      <c r="N77">
        <f t="shared" si="2"/>
        <v>1</v>
      </c>
      <c r="O77">
        <f t="shared" si="3"/>
        <v>0</v>
      </c>
    </row>
    <row r="78" spans="1:15" x14ac:dyDescent="0.2">
      <c r="A78" s="1">
        <v>44988</v>
      </c>
      <c r="B78">
        <v>5</v>
      </c>
      <c r="C78" t="s">
        <v>13</v>
      </c>
      <c r="D78" s="2">
        <v>0.39791666666666664</v>
      </c>
      <c r="E78">
        <v>12101.53</v>
      </c>
      <c r="F78" s="2">
        <v>0.40069444444444446</v>
      </c>
      <c r="G78">
        <v>12110</v>
      </c>
      <c r="H78">
        <v>12110</v>
      </c>
      <c r="I78">
        <v>12080.35</v>
      </c>
      <c r="J78" t="s">
        <v>15</v>
      </c>
      <c r="K78">
        <v>-8.4700000000000006</v>
      </c>
      <c r="L78" s="9">
        <v>-1</v>
      </c>
      <c r="M78">
        <v>0</v>
      </c>
      <c r="N78">
        <f t="shared" si="2"/>
        <v>2</v>
      </c>
      <c r="O78">
        <f t="shared" si="3"/>
        <v>0</v>
      </c>
    </row>
    <row r="79" spans="1:15" x14ac:dyDescent="0.2">
      <c r="A79" s="1">
        <v>44988</v>
      </c>
      <c r="B79">
        <v>5</v>
      </c>
      <c r="C79" t="s">
        <v>16</v>
      </c>
      <c r="D79" s="2">
        <v>0.41041666666666665</v>
      </c>
      <c r="E79">
        <v>12143.12</v>
      </c>
      <c r="F79" s="2">
        <v>0.41180555555555554</v>
      </c>
      <c r="G79">
        <v>12164.37</v>
      </c>
      <c r="H79">
        <v>12134.62</v>
      </c>
      <c r="I79">
        <v>12164.37</v>
      </c>
      <c r="J79" t="s">
        <v>14</v>
      </c>
      <c r="K79">
        <v>21.25</v>
      </c>
      <c r="L79" s="9">
        <v>2.5</v>
      </c>
      <c r="M79">
        <v>1</v>
      </c>
      <c r="N79">
        <f t="shared" si="2"/>
        <v>0</v>
      </c>
      <c r="O79">
        <f t="shared" si="3"/>
        <v>1</v>
      </c>
    </row>
    <row r="80" spans="1:15" x14ac:dyDescent="0.2">
      <c r="A80" s="1">
        <v>44988</v>
      </c>
      <c r="B80">
        <v>5</v>
      </c>
      <c r="C80" t="s">
        <v>16</v>
      </c>
      <c r="D80" s="2">
        <v>0.43472222222222223</v>
      </c>
      <c r="E80">
        <v>12189.49</v>
      </c>
      <c r="F80" s="2">
        <v>0.43958333333333333</v>
      </c>
      <c r="G80">
        <v>12210.82</v>
      </c>
      <c r="H80">
        <v>12180.96</v>
      </c>
      <c r="I80">
        <v>12210.82</v>
      </c>
      <c r="J80" t="s">
        <v>14</v>
      </c>
      <c r="K80">
        <v>21.33</v>
      </c>
      <c r="L80" s="9">
        <v>2.5</v>
      </c>
      <c r="M80">
        <v>1</v>
      </c>
      <c r="N80">
        <f t="shared" si="2"/>
        <v>0</v>
      </c>
      <c r="O80">
        <f t="shared" si="3"/>
        <v>2</v>
      </c>
    </row>
    <row r="81" spans="1:15" x14ac:dyDescent="0.2">
      <c r="A81" s="1">
        <v>44991</v>
      </c>
      <c r="B81">
        <v>1</v>
      </c>
      <c r="C81" t="s">
        <v>16</v>
      </c>
      <c r="D81" s="2">
        <v>0.40555555555555556</v>
      </c>
      <c r="E81">
        <v>12361.16</v>
      </c>
      <c r="F81" s="2">
        <v>0.40694444444444444</v>
      </c>
      <c r="G81">
        <v>12352.5</v>
      </c>
      <c r="H81">
        <v>12352.5</v>
      </c>
      <c r="I81">
        <v>12382.79</v>
      </c>
      <c r="J81" t="s">
        <v>15</v>
      </c>
      <c r="K81">
        <v>-8.65</v>
      </c>
      <c r="L81" s="9">
        <v>-1</v>
      </c>
      <c r="M81">
        <v>0</v>
      </c>
      <c r="N81">
        <f t="shared" si="2"/>
        <v>1</v>
      </c>
      <c r="O81">
        <f t="shared" si="3"/>
        <v>0</v>
      </c>
    </row>
    <row r="82" spans="1:15" x14ac:dyDescent="0.2">
      <c r="A82" s="1">
        <v>44991</v>
      </c>
      <c r="B82">
        <v>1</v>
      </c>
      <c r="C82" t="s">
        <v>16</v>
      </c>
      <c r="D82" s="2">
        <v>0.42499999999999999</v>
      </c>
      <c r="E82">
        <v>12376.11</v>
      </c>
      <c r="F82" s="2">
        <v>0.4284722222222222</v>
      </c>
      <c r="G82">
        <v>12397.76</v>
      </c>
      <c r="H82">
        <v>12367.44</v>
      </c>
      <c r="I82">
        <v>12397.76</v>
      </c>
      <c r="J82" t="s">
        <v>14</v>
      </c>
      <c r="K82">
        <v>21.66</v>
      </c>
      <c r="L82" s="9">
        <v>2.5</v>
      </c>
      <c r="M82">
        <v>1</v>
      </c>
      <c r="N82">
        <f t="shared" si="2"/>
        <v>0</v>
      </c>
      <c r="O82">
        <f t="shared" si="3"/>
        <v>1</v>
      </c>
    </row>
    <row r="83" spans="1:15" x14ac:dyDescent="0.2">
      <c r="A83" s="1">
        <v>44994</v>
      </c>
      <c r="B83">
        <v>4</v>
      </c>
      <c r="C83" t="s">
        <v>16</v>
      </c>
      <c r="D83" s="2">
        <v>0.41111111111111109</v>
      </c>
      <c r="E83">
        <v>12304.36</v>
      </c>
      <c r="F83" s="2">
        <v>0.41875000000000001</v>
      </c>
      <c r="G83">
        <v>12325.89</v>
      </c>
      <c r="H83">
        <v>12295.75</v>
      </c>
      <c r="I83">
        <v>12325.89</v>
      </c>
      <c r="J83" t="s">
        <v>14</v>
      </c>
      <c r="K83">
        <v>21.53</v>
      </c>
      <c r="L83" s="9">
        <v>2.5</v>
      </c>
      <c r="M83">
        <v>1</v>
      </c>
      <c r="N83">
        <f t="shared" si="2"/>
        <v>0</v>
      </c>
      <c r="O83">
        <f t="shared" si="3"/>
        <v>2</v>
      </c>
    </row>
    <row r="84" spans="1:15" x14ac:dyDescent="0.2">
      <c r="A84" s="1">
        <v>44994</v>
      </c>
      <c r="B84">
        <v>4</v>
      </c>
      <c r="C84" t="s">
        <v>16</v>
      </c>
      <c r="D84" s="2">
        <v>0.44791666666666669</v>
      </c>
      <c r="E84">
        <v>12323.28</v>
      </c>
      <c r="F84" s="2">
        <v>0.4513888888888889</v>
      </c>
      <c r="G84">
        <v>12314.65</v>
      </c>
      <c r="H84">
        <v>12314.65</v>
      </c>
      <c r="I84">
        <v>12344.84</v>
      </c>
      <c r="J84" t="s">
        <v>15</v>
      </c>
      <c r="K84">
        <v>-8.6300000000000008</v>
      </c>
      <c r="L84" s="9">
        <v>-1</v>
      </c>
      <c r="M84">
        <v>0</v>
      </c>
      <c r="N84">
        <f t="shared" si="2"/>
        <v>1</v>
      </c>
      <c r="O84">
        <f t="shared" si="3"/>
        <v>0</v>
      </c>
    </row>
    <row r="85" spans="1:15" x14ac:dyDescent="0.2">
      <c r="A85" s="1">
        <v>44995</v>
      </c>
      <c r="B85">
        <v>5</v>
      </c>
      <c r="C85" t="s">
        <v>13</v>
      </c>
      <c r="D85" s="2">
        <v>0.40138888888888891</v>
      </c>
      <c r="E85">
        <v>11952.49</v>
      </c>
      <c r="F85" s="2">
        <v>0.40208333333333335</v>
      </c>
      <c r="G85">
        <v>11931.58</v>
      </c>
      <c r="H85">
        <v>11960.86</v>
      </c>
      <c r="I85">
        <v>11931.58</v>
      </c>
      <c r="J85" t="s">
        <v>14</v>
      </c>
      <c r="K85">
        <v>20.92</v>
      </c>
      <c r="L85" s="9">
        <v>2.5</v>
      </c>
      <c r="M85">
        <v>1</v>
      </c>
      <c r="N85">
        <f t="shared" si="2"/>
        <v>0</v>
      </c>
      <c r="O85">
        <f t="shared" si="3"/>
        <v>1</v>
      </c>
    </row>
    <row r="86" spans="1:15" x14ac:dyDescent="0.2">
      <c r="A86" s="1">
        <v>44998</v>
      </c>
      <c r="B86">
        <v>1</v>
      </c>
      <c r="C86" t="s">
        <v>13</v>
      </c>
      <c r="D86" s="2">
        <v>0.40277777777777779</v>
      </c>
      <c r="E86">
        <v>11732.01</v>
      </c>
      <c r="F86" s="2">
        <v>0.40347222222222223</v>
      </c>
      <c r="G86">
        <v>11740.23</v>
      </c>
      <c r="H86">
        <v>11740.23</v>
      </c>
      <c r="I86">
        <v>11711.48</v>
      </c>
      <c r="J86" t="s">
        <v>17</v>
      </c>
      <c r="K86">
        <v>-8.2100000000000009</v>
      </c>
      <c r="L86" s="9">
        <v>-1</v>
      </c>
      <c r="M86">
        <v>0</v>
      </c>
      <c r="N86">
        <f t="shared" si="2"/>
        <v>1</v>
      </c>
      <c r="O86">
        <f t="shared" si="3"/>
        <v>0</v>
      </c>
    </row>
    <row r="87" spans="1:15" x14ac:dyDescent="0.2">
      <c r="A87" s="1">
        <v>44998</v>
      </c>
      <c r="B87">
        <v>1</v>
      </c>
      <c r="C87" t="s">
        <v>16</v>
      </c>
      <c r="D87" s="2">
        <v>0.41597222222222224</v>
      </c>
      <c r="E87">
        <v>11884.03</v>
      </c>
      <c r="F87" s="2">
        <v>0.41666666666666669</v>
      </c>
      <c r="G87">
        <v>11875.72</v>
      </c>
      <c r="H87">
        <v>11875.72</v>
      </c>
      <c r="I87">
        <v>11904.83</v>
      </c>
      <c r="J87" t="s">
        <v>15</v>
      </c>
      <c r="K87">
        <v>-8.32</v>
      </c>
      <c r="L87" s="9">
        <v>-1</v>
      </c>
      <c r="M87">
        <v>0</v>
      </c>
      <c r="N87">
        <f t="shared" si="2"/>
        <v>2</v>
      </c>
      <c r="O87">
        <f t="shared" si="3"/>
        <v>0</v>
      </c>
    </row>
    <row r="88" spans="1:15" x14ac:dyDescent="0.2">
      <c r="A88" s="1">
        <v>44999</v>
      </c>
      <c r="B88">
        <v>2</v>
      </c>
      <c r="C88" t="s">
        <v>16</v>
      </c>
      <c r="D88" s="2">
        <v>0.39791666666666664</v>
      </c>
      <c r="E88">
        <v>12077.18</v>
      </c>
      <c r="F88" s="2">
        <v>0.39861111111111114</v>
      </c>
      <c r="G88">
        <v>12068.73</v>
      </c>
      <c r="H88">
        <v>12068.73</v>
      </c>
      <c r="I88">
        <v>12098.32</v>
      </c>
      <c r="J88" t="s">
        <v>15</v>
      </c>
      <c r="K88">
        <v>-8.4499999999999993</v>
      </c>
      <c r="L88" s="9">
        <v>-1</v>
      </c>
      <c r="M88">
        <v>0</v>
      </c>
      <c r="N88">
        <f t="shared" si="2"/>
        <v>3</v>
      </c>
      <c r="O88">
        <f t="shared" si="3"/>
        <v>0</v>
      </c>
    </row>
    <row r="89" spans="1:15" x14ac:dyDescent="0.2">
      <c r="A89" s="1">
        <v>44999</v>
      </c>
      <c r="B89">
        <v>2</v>
      </c>
      <c r="C89" t="s">
        <v>16</v>
      </c>
      <c r="D89" s="2">
        <v>0.42083333333333334</v>
      </c>
      <c r="E89">
        <v>12130.78</v>
      </c>
      <c r="F89" s="2">
        <v>0.4236111111111111</v>
      </c>
      <c r="G89">
        <v>12122.29</v>
      </c>
      <c r="H89">
        <v>12122.29</v>
      </c>
      <c r="I89">
        <v>12152.01</v>
      </c>
      <c r="J89" t="s">
        <v>15</v>
      </c>
      <c r="K89">
        <v>-8.49</v>
      </c>
      <c r="L89" s="9">
        <v>-1</v>
      </c>
      <c r="M89">
        <v>0</v>
      </c>
      <c r="N89">
        <f t="shared" si="2"/>
        <v>4</v>
      </c>
      <c r="O89">
        <f t="shared" si="3"/>
        <v>0</v>
      </c>
    </row>
    <row r="90" spans="1:15" x14ac:dyDescent="0.2">
      <c r="A90" s="1">
        <v>45000</v>
      </c>
      <c r="B90">
        <v>3</v>
      </c>
      <c r="C90" t="s">
        <v>16</v>
      </c>
      <c r="D90" s="2">
        <v>0.3972222222222222</v>
      </c>
      <c r="E90">
        <v>12079.07</v>
      </c>
      <c r="F90" s="2">
        <v>0.39791666666666664</v>
      </c>
      <c r="G90">
        <v>12100.21</v>
      </c>
      <c r="H90">
        <v>12070.61</v>
      </c>
      <c r="I90">
        <v>12100.21</v>
      </c>
      <c r="J90" t="s">
        <v>14</v>
      </c>
      <c r="K90">
        <v>21.14</v>
      </c>
      <c r="L90" s="9">
        <v>2.5</v>
      </c>
      <c r="M90">
        <v>1</v>
      </c>
      <c r="N90">
        <f t="shared" si="2"/>
        <v>0</v>
      </c>
      <c r="O90">
        <f t="shared" si="3"/>
        <v>1</v>
      </c>
    </row>
    <row r="91" spans="1:15" x14ac:dyDescent="0.2">
      <c r="A91" s="1">
        <v>45000</v>
      </c>
      <c r="B91">
        <v>3</v>
      </c>
      <c r="C91" t="s">
        <v>13</v>
      </c>
      <c r="D91" s="2">
        <v>0.43611111111111112</v>
      </c>
      <c r="E91">
        <v>12068.09</v>
      </c>
      <c r="F91" s="2">
        <v>0.43680555555555556</v>
      </c>
      <c r="G91">
        <v>12076.54</v>
      </c>
      <c r="H91">
        <v>12076.54</v>
      </c>
      <c r="I91">
        <v>12046.97</v>
      </c>
      <c r="J91" t="s">
        <v>15</v>
      </c>
      <c r="K91">
        <v>-8.4499999999999993</v>
      </c>
      <c r="L91" s="9">
        <v>-1</v>
      </c>
      <c r="M91">
        <v>0</v>
      </c>
      <c r="N91">
        <f t="shared" si="2"/>
        <v>1</v>
      </c>
      <c r="O91">
        <f t="shared" si="3"/>
        <v>0</v>
      </c>
    </row>
    <row r="92" spans="1:15" x14ac:dyDescent="0.2">
      <c r="A92" s="1">
        <v>45001</v>
      </c>
      <c r="B92">
        <v>4</v>
      </c>
      <c r="C92" t="s">
        <v>13</v>
      </c>
      <c r="D92" s="2">
        <v>0.3972222222222222</v>
      </c>
      <c r="E92">
        <v>12208.04</v>
      </c>
      <c r="F92" s="2">
        <v>0.4</v>
      </c>
      <c r="G92">
        <v>12186.68</v>
      </c>
      <c r="H92">
        <v>12216.59</v>
      </c>
      <c r="I92">
        <v>12186.68</v>
      </c>
      <c r="J92" t="s">
        <v>14</v>
      </c>
      <c r="K92">
        <v>21.36</v>
      </c>
      <c r="L92" s="9">
        <v>2.5</v>
      </c>
      <c r="M92">
        <v>1</v>
      </c>
      <c r="N92">
        <f t="shared" si="2"/>
        <v>0</v>
      </c>
      <c r="O92">
        <f t="shared" si="3"/>
        <v>1</v>
      </c>
    </row>
    <row r="93" spans="1:15" x14ac:dyDescent="0.2">
      <c r="A93" s="1">
        <v>45001</v>
      </c>
      <c r="B93">
        <v>4</v>
      </c>
      <c r="C93" t="s">
        <v>16</v>
      </c>
      <c r="D93" s="2">
        <v>0.41319444444444442</v>
      </c>
      <c r="E93">
        <v>12244.36</v>
      </c>
      <c r="F93" s="2">
        <v>0.41388888888888886</v>
      </c>
      <c r="G93">
        <v>12265.79</v>
      </c>
      <c r="H93">
        <v>12235.79</v>
      </c>
      <c r="I93">
        <v>12265.79</v>
      </c>
      <c r="J93" t="s">
        <v>14</v>
      </c>
      <c r="K93">
        <v>21.43</v>
      </c>
      <c r="L93" s="9">
        <v>2.5</v>
      </c>
      <c r="M93">
        <v>1</v>
      </c>
      <c r="N93">
        <f t="shared" si="2"/>
        <v>0</v>
      </c>
      <c r="O93">
        <f t="shared" si="3"/>
        <v>2</v>
      </c>
    </row>
    <row r="94" spans="1:15" x14ac:dyDescent="0.2">
      <c r="A94" s="1">
        <v>45001</v>
      </c>
      <c r="B94">
        <v>4</v>
      </c>
      <c r="C94" t="s">
        <v>16</v>
      </c>
      <c r="D94" s="2">
        <v>0.44444444444444442</v>
      </c>
      <c r="E94">
        <v>12281.83</v>
      </c>
      <c r="F94" s="2">
        <v>0.44513888888888886</v>
      </c>
      <c r="G94">
        <v>12303.32</v>
      </c>
      <c r="H94">
        <v>12273.23</v>
      </c>
      <c r="I94">
        <v>12303.32</v>
      </c>
      <c r="J94" t="s">
        <v>14</v>
      </c>
      <c r="K94">
        <v>21.49</v>
      </c>
      <c r="L94" s="9">
        <v>2.5</v>
      </c>
      <c r="M94">
        <v>1</v>
      </c>
      <c r="N94">
        <f t="shared" si="2"/>
        <v>0</v>
      </c>
      <c r="O94">
        <f t="shared" si="3"/>
        <v>3</v>
      </c>
    </row>
    <row r="95" spans="1:15" x14ac:dyDescent="0.2">
      <c r="A95" s="1">
        <v>45002</v>
      </c>
      <c r="B95">
        <v>5</v>
      </c>
      <c r="C95" t="s">
        <v>16</v>
      </c>
      <c r="D95" s="2">
        <v>0.40347222222222223</v>
      </c>
      <c r="E95">
        <v>12599.31</v>
      </c>
      <c r="F95" s="2">
        <v>0.40416666666666667</v>
      </c>
      <c r="G95">
        <v>12590.49</v>
      </c>
      <c r="H95">
        <v>12590.49</v>
      </c>
      <c r="I95">
        <v>12621.36</v>
      </c>
      <c r="J95" t="s">
        <v>15</v>
      </c>
      <c r="K95">
        <v>-8.82</v>
      </c>
      <c r="L95" s="9">
        <v>-1</v>
      </c>
      <c r="M95">
        <v>0</v>
      </c>
      <c r="N95">
        <f t="shared" si="2"/>
        <v>1</v>
      </c>
      <c r="O95">
        <f t="shared" si="3"/>
        <v>0</v>
      </c>
    </row>
    <row r="96" spans="1:15" x14ac:dyDescent="0.2">
      <c r="A96" s="1">
        <v>45002</v>
      </c>
      <c r="B96">
        <v>5</v>
      </c>
      <c r="C96" t="s">
        <v>16</v>
      </c>
      <c r="D96" s="2">
        <v>0.4201388888888889</v>
      </c>
      <c r="E96">
        <v>12649.09</v>
      </c>
      <c r="F96" s="2">
        <v>0.42152777777777778</v>
      </c>
      <c r="G96">
        <v>12640.24</v>
      </c>
      <c r="H96">
        <v>12640.24</v>
      </c>
      <c r="I96">
        <v>12671.23</v>
      </c>
      <c r="J96" t="s">
        <v>15</v>
      </c>
      <c r="K96">
        <v>-8.85</v>
      </c>
      <c r="L96" s="9">
        <v>-1</v>
      </c>
      <c r="M96">
        <v>0</v>
      </c>
      <c r="N96">
        <f t="shared" si="2"/>
        <v>2</v>
      </c>
      <c r="O96">
        <f t="shared" si="3"/>
        <v>0</v>
      </c>
    </row>
    <row r="97" spans="1:15" x14ac:dyDescent="0.2">
      <c r="A97" s="1">
        <v>45002</v>
      </c>
      <c r="B97">
        <v>5</v>
      </c>
      <c r="C97" t="s">
        <v>13</v>
      </c>
      <c r="D97" s="2">
        <v>0.43472222222222223</v>
      </c>
      <c r="E97">
        <v>12569.46</v>
      </c>
      <c r="F97" s="2">
        <v>0.43541666666666667</v>
      </c>
      <c r="G97">
        <v>12547.46</v>
      </c>
      <c r="H97">
        <v>12578.25</v>
      </c>
      <c r="I97">
        <v>12547.46</v>
      </c>
      <c r="J97" t="s">
        <v>14</v>
      </c>
      <c r="K97">
        <v>22</v>
      </c>
      <c r="L97" s="9">
        <v>2.5</v>
      </c>
      <c r="M97">
        <v>1</v>
      </c>
      <c r="N97">
        <f t="shared" si="2"/>
        <v>0</v>
      </c>
      <c r="O97">
        <f t="shared" si="3"/>
        <v>1</v>
      </c>
    </row>
    <row r="98" spans="1:15" x14ac:dyDescent="0.2">
      <c r="A98" s="1">
        <v>45005</v>
      </c>
      <c r="B98">
        <v>1</v>
      </c>
      <c r="C98" t="s">
        <v>13</v>
      </c>
      <c r="D98" s="2">
        <v>0.39583333333333331</v>
      </c>
      <c r="E98">
        <v>12498.48</v>
      </c>
      <c r="F98" s="2">
        <v>0.39652777777777776</v>
      </c>
      <c r="G98">
        <v>12476.61</v>
      </c>
      <c r="H98">
        <v>12507.23</v>
      </c>
      <c r="I98">
        <v>12476.61</v>
      </c>
      <c r="J98" t="s">
        <v>14</v>
      </c>
      <c r="K98">
        <v>21.87</v>
      </c>
      <c r="L98" s="9">
        <v>2.5</v>
      </c>
      <c r="M98">
        <v>1</v>
      </c>
      <c r="N98">
        <f t="shared" si="2"/>
        <v>0</v>
      </c>
      <c r="O98">
        <f t="shared" si="3"/>
        <v>2</v>
      </c>
    </row>
    <row r="99" spans="1:15" x14ac:dyDescent="0.2">
      <c r="A99" s="1">
        <v>45005</v>
      </c>
      <c r="B99">
        <v>1</v>
      </c>
      <c r="C99" t="s">
        <v>16</v>
      </c>
      <c r="D99" s="2">
        <v>0.43888888888888888</v>
      </c>
      <c r="E99">
        <v>12479.98</v>
      </c>
      <c r="F99" s="2">
        <v>0.43958333333333333</v>
      </c>
      <c r="G99">
        <v>12471.24</v>
      </c>
      <c r="H99">
        <v>12471.24</v>
      </c>
      <c r="I99">
        <v>12501.82</v>
      </c>
      <c r="J99" t="s">
        <v>15</v>
      </c>
      <c r="K99">
        <v>-8.74</v>
      </c>
      <c r="L99" s="9">
        <v>-1</v>
      </c>
      <c r="M99">
        <v>0</v>
      </c>
      <c r="N99">
        <f t="shared" si="2"/>
        <v>1</v>
      </c>
      <c r="O99">
        <f t="shared" si="3"/>
        <v>0</v>
      </c>
    </row>
    <row r="100" spans="1:15" x14ac:dyDescent="0.2">
      <c r="A100" s="1">
        <v>45005</v>
      </c>
      <c r="B100">
        <v>1</v>
      </c>
      <c r="C100" t="s">
        <v>16</v>
      </c>
      <c r="D100" s="2">
        <v>0.45347222222222222</v>
      </c>
      <c r="E100">
        <v>12491.97</v>
      </c>
      <c r="F100" s="2">
        <v>0.45694444444444443</v>
      </c>
      <c r="G100">
        <v>12513.83</v>
      </c>
      <c r="H100">
        <v>12483.23</v>
      </c>
      <c r="I100">
        <v>12513.83</v>
      </c>
      <c r="J100" t="s">
        <v>14</v>
      </c>
      <c r="K100">
        <v>21.86</v>
      </c>
      <c r="L100" s="9">
        <v>2.5</v>
      </c>
      <c r="M100">
        <v>1</v>
      </c>
      <c r="N100">
        <f t="shared" si="2"/>
        <v>0</v>
      </c>
      <c r="O100">
        <f t="shared" si="3"/>
        <v>1</v>
      </c>
    </row>
    <row r="101" spans="1:15" x14ac:dyDescent="0.2">
      <c r="A101" s="1">
        <v>45006</v>
      </c>
      <c r="B101">
        <v>2</v>
      </c>
      <c r="C101" t="s">
        <v>16</v>
      </c>
      <c r="D101" s="2">
        <v>0.4</v>
      </c>
      <c r="E101">
        <v>12667.36</v>
      </c>
      <c r="F101" s="2">
        <v>0.40138888888888891</v>
      </c>
      <c r="G101">
        <v>12658.49</v>
      </c>
      <c r="H101">
        <v>12658.49</v>
      </c>
      <c r="I101">
        <v>12689.52</v>
      </c>
      <c r="J101" t="s">
        <v>15</v>
      </c>
      <c r="K101">
        <v>-8.8699999999999992</v>
      </c>
      <c r="L101" s="9">
        <v>-1</v>
      </c>
      <c r="M101">
        <v>0</v>
      </c>
      <c r="N101">
        <f t="shared" si="2"/>
        <v>1</v>
      </c>
      <c r="O101">
        <f t="shared" si="3"/>
        <v>0</v>
      </c>
    </row>
    <row r="102" spans="1:15" x14ac:dyDescent="0.2">
      <c r="A102" s="1">
        <v>45006</v>
      </c>
      <c r="B102">
        <v>2</v>
      </c>
      <c r="C102" t="s">
        <v>16</v>
      </c>
      <c r="D102" s="2">
        <v>0.41805555555555557</v>
      </c>
      <c r="E102">
        <v>12686.21</v>
      </c>
      <c r="F102" s="2">
        <v>0.41944444444444445</v>
      </c>
      <c r="G102">
        <v>12677.33</v>
      </c>
      <c r="H102">
        <v>12677.33</v>
      </c>
      <c r="I102">
        <v>12708.41</v>
      </c>
      <c r="J102" t="s">
        <v>15</v>
      </c>
      <c r="K102">
        <v>-8.8800000000000008</v>
      </c>
      <c r="L102" s="9">
        <v>-1</v>
      </c>
      <c r="M102">
        <v>0</v>
      </c>
      <c r="N102">
        <f t="shared" si="2"/>
        <v>2</v>
      </c>
      <c r="O102">
        <f t="shared" si="3"/>
        <v>0</v>
      </c>
    </row>
    <row r="103" spans="1:15" x14ac:dyDescent="0.2">
      <c r="A103" s="1">
        <v>45006</v>
      </c>
      <c r="B103">
        <v>2</v>
      </c>
      <c r="C103" t="s">
        <v>13</v>
      </c>
      <c r="D103" s="2">
        <v>0.42986111111111114</v>
      </c>
      <c r="E103">
        <v>12642.52</v>
      </c>
      <c r="F103" s="2">
        <v>0.43333333333333335</v>
      </c>
      <c r="G103">
        <v>12620.39</v>
      </c>
      <c r="H103">
        <v>12651.37</v>
      </c>
      <c r="I103">
        <v>12620.39</v>
      </c>
      <c r="J103" t="s">
        <v>14</v>
      </c>
      <c r="K103">
        <v>22.12</v>
      </c>
      <c r="L103" s="9">
        <v>2.5</v>
      </c>
      <c r="M103">
        <v>1</v>
      </c>
      <c r="N103">
        <f t="shared" si="2"/>
        <v>0</v>
      </c>
      <c r="O103">
        <f t="shared" si="3"/>
        <v>1</v>
      </c>
    </row>
    <row r="104" spans="1:15" x14ac:dyDescent="0.2">
      <c r="A104" s="1">
        <v>45008</v>
      </c>
      <c r="B104">
        <v>4</v>
      </c>
      <c r="C104" t="s">
        <v>16</v>
      </c>
      <c r="D104" s="2">
        <v>0.39861111111111114</v>
      </c>
      <c r="E104">
        <v>12733.87</v>
      </c>
      <c r="F104" s="2">
        <v>0.4</v>
      </c>
      <c r="G104">
        <v>12724.95</v>
      </c>
      <c r="H104">
        <v>12724.95</v>
      </c>
      <c r="I104">
        <v>12756.15</v>
      </c>
      <c r="J104" t="s">
        <v>15</v>
      </c>
      <c r="K104">
        <v>-8.91</v>
      </c>
      <c r="L104" s="9">
        <v>-1</v>
      </c>
      <c r="M104">
        <v>0</v>
      </c>
      <c r="N104">
        <f t="shared" si="2"/>
        <v>1</v>
      </c>
      <c r="O104">
        <f t="shared" si="3"/>
        <v>0</v>
      </c>
    </row>
    <row r="105" spans="1:15" x14ac:dyDescent="0.2">
      <c r="A105" s="1">
        <v>45008</v>
      </c>
      <c r="B105">
        <v>4</v>
      </c>
      <c r="C105" t="s">
        <v>16</v>
      </c>
      <c r="D105" s="2">
        <v>0.4548611111111111</v>
      </c>
      <c r="E105">
        <v>12863.14</v>
      </c>
      <c r="F105" s="2">
        <v>0.45624999999999999</v>
      </c>
      <c r="G105">
        <v>12854.14</v>
      </c>
      <c r="H105">
        <v>12854.14</v>
      </c>
      <c r="I105">
        <v>12885.65</v>
      </c>
      <c r="J105" t="s">
        <v>15</v>
      </c>
      <c r="K105">
        <v>-9</v>
      </c>
      <c r="L105" s="9">
        <v>-1</v>
      </c>
      <c r="M105">
        <v>0</v>
      </c>
      <c r="N105">
        <f t="shared" si="2"/>
        <v>2</v>
      </c>
      <c r="O105">
        <f t="shared" si="3"/>
        <v>0</v>
      </c>
    </row>
    <row r="106" spans="1:15" x14ac:dyDescent="0.2">
      <c r="A106" s="1">
        <v>45012</v>
      </c>
      <c r="B106">
        <v>1</v>
      </c>
      <c r="C106" t="s">
        <v>13</v>
      </c>
      <c r="D106" s="2">
        <v>0.39861111111111114</v>
      </c>
      <c r="E106">
        <v>12782.49</v>
      </c>
      <c r="F106" s="2">
        <v>0.39930555555555558</v>
      </c>
      <c r="G106">
        <v>12791.44</v>
      </c>
      <c r="H106">
        <v>12791.44</v>
      </c>
      <c r="I106">
        <v>12760.12</v>
      </c>
      <c r="J106" t="s">
        <v>15</v>
      </c>
      <c r="K106">
        <v>-8.9499999999999993</v>
      </c>
      <c r="L106" s="9">
        <v>-1</v>
      </c>
      <c r="M106">
        <v>0</v>
      </c>
      <c r="N106">
        <f t="shared" si="2"/>
        <v>3</v>
      </c>
      <c r="O106">
        <f t="shared" si="3"/>
        <v>0</v>
      </c>
    </row>
    <row r="107" spans="1:15" x14ac:dyDescent="0.2">
      <c r="A107" s="1">
        <v>45012</v>
      </c>
      <c r="B107">
        <v>1</v>
      </c>
      <c r="C107" t="s">
        <v>16</v>
      </c>
      <c r="D107" s="2">
        <v>0.41111111111111109</v>
      </c>
      <c r="E107">
        <v>12826.31</v>
      </c>
      <c r="F107" s="2">
        <v>0.41249999999999998</v>
      </c>
      <c r="G107">
        <v>12817.33</v>
      </c>
      <c r="H107">
        <v>12817.33</v>
      </c>
      <c r="I107">
        <v>12848.76</v>
      </c>
      <c r="J107" t="s">
        <v>15</v>
      </c>
      <c r="K107">
        <v>-8.98</v>
      </c>
      <c r="L107" s="9">
        <v>-1</v>
      </c>
      <c r="M107">
        <v>0</v>
      </c>
      <c r="N107">
        <f t="shared" si="2"/>
        <v>4</v>
      </c>
      <c r="O107">
        <f t="shared" si="3"/>
        <v>0</v>
      </c>
    </row>
    <row r="108" spans="1:15" x14ac:dyDescent="0.2">
      <c r="A108" s="1">
        <v>45012</v>
      </c>
      <c r="B108">
        <v>1</v>
      </c>
      <c r="C108" t="s">
        <v>13</v>
      </c>
      <c r="D108" s="2">
        <v>0.43958333333333333</v>
      </c>
      <c r="E108">
        <v>12767.06</v>
      </c>
      <c r="F108" s="2">
        <v>0.44166666666666665</v>
      </c>
      <c r="G108">
        <v>12744.72</v>
      </c>
      <c r="H108">
        <v>12776</v>
      </c>
      <c r="I108">
        <v>12744.72</v>
      </c>
      <c r="J108" t="s">
        <v>14</v>
      </c>
      <c r="K108">
        <v>22.34</v>
      </c>
      <c r="L108" s="9">
        <v>2.5</v>
      </c>
      <c r="M108">
        <v>1</v>
      </c>
      <c r="N108">
        <f t="shared" si="2"/>
        <v>0</v>
      </c>
      <c r="O108">
        <f t="shared" si="3"/>
        <v>1</v>
      </c>
    </row>
    <row r="109" spans="1:15" x14ac:dyDescent="0.2">
      <c r="A109" s="1">
        <v>45014</v>
      </c>
      <c r="B109">
        <v>3</v>
      </c>
      <c r="C109" t="s">
        <v>16</v>
      </c>
      <c r="D109" s="2">
        <v>0.39930555555555558</v>
      </c>
      <c r="E109">
        <v>12782.48</v>
      </c>
      <c r="F109" s="2">
        <v>0.40833333333333333</v>
      </c>
      <c r="G109">
        <v>12804.85</v>
      </c>
      <c r="H109">
        <v>12773.53</v>
      </c>
      <c r="I109">
        <v>12804.85</v>
      </c>
      <c r="J109" t="s">
        <v>14</v>
      </c>
      <c r="K109">
        <v>22.37</v>
      </c>
      <c r="L109" s="9">
        <v>2.5</v>
      </c>
      <c r="M109">
        <v>1</v>
      </c>
      <c r="N109">
        <f t="shared" si="2"/>
        <v>0</v>
      </c>
      <c r="O109">
        <f t="shared" si="3"/>
        <v>2</v>
      </c>
    </row>
    <row r="110" spans="1:15" x14ac:dyDescent="0.2">
      <c r="A110" s="1">
        <v>45014</v>
      </c>
      <c r="B110">
        <v>3</v>
      </c>
      <c r="C110" t="s">
        <v>13</v>
      </c>
      <c r="D110" s="2">
        <v>0.43680555555555556</v>
      </c>
      <c r="E110">
        <v>12769.27</v>
      </c>
      <c r="F110" s="2">
        <v>0.44305555555555554</v>
      </c>
      <c r="G110">
        <v>12746.93</v>
      </c>
      <c r="H110">
        <v>12778.21</v>
      </c>
      <c r="I110">
        <v>12746.93</v>
      </c>
      <c r="J110" t="s">
        <v>14</v>
      </c>
      <c r="K110">
        <v>22.35</v>
      </c>
      <c r="L110" s="9">
        <v>2.5</v>
      </c>
      <c r="M110">
        <v>1</v>
      </c>
      <c r="N110">
        <f t="shared" si="2"/>
        <v>0</v>
      </c>
      <c r="O110">
        <f t="shared" si="3"/>
        <v>3</v>
      </c>
    </row>
    <row r="111" spans="1:15" x14ac:dyDescent="0.2">
      <c r="A111" s="1">
        <v>45015</v>
      </c>
      <c r="B111">
        <v>4</v>
      </c>
      <c r="C111" t="s">
        <v>16</v>
      </c>
      <c r="D111" s="2">
        <v>0.41805555555555557</v>
      </c>
      <c r="E111">
        <v>12952.77</v>
      </c>
      <c r="F111" s="2">
        <v>0.4201388888888889</v>
      </c>
      <c r="G111">
        <v>12943.71</v>
      </c>
      <c r="H111">
        <v>12943.71</v>
      </c>
      <c r="I111">
        <v>12975.44</v>
      </c>
      <c r="J111" t="s">
        <v>15</v>
      </c>
      <c r="K111">
        <v>-9.07</v>
      </c>
      <c r="L111" s="9">
        <v>-1</v>
      </c>
      <c r="M111">
        <v>0</v>
      </c>
      <c r="N111">
        <f t="shared" si="2"/>
        <v>1</v>
      </c>
      <c r="O111">
        <f t="shared" si="3"/>
        <v>0</v>
      </c>
    </row>
    <row r="112" spans="1:15" x14ac:dyDescent="0.2">
      <c r="A112" s="1">
        <v>45015</v>
      </c>
      <c r="B112">
        <v>4</v>
      </c>
      <c r="C112" t="s">
        <v>16</v>
      </c>
      <c r="D112" s="2">
        <v>0.43958333333333333</v>
      </c>
      <c r="E112">
        <v>12975.63</v>
      </c>
      <c r="F112" s="2">
        <v>0.44027777777777777</v>
      </c>
      <c r="G112">
        <v>12966.55</v>
      </c>
      <c r="H112">
        <v>12966.55</v>
      </c>
      <c r="I112">
        <v>12998.34</v>
      </c>
      <c r="J112" t="s">
        <v>15</v>
      </c>
      <c r="K112">
        <v>-9.08</v>
      </c>
      <c r="L112" s="9">
        <v>-1</v>
      </c>
      <c r="M112">
        <v>0</v>
      </c>
      <c r="N112">
        <f t="shared" si="2"/>
        <v>2</v>
      </c>
      <c r="O112">
        <f t="shared" si="3"/>
        <v>0</v>
      </c>
    </row>
    <row r="113" spans="1:15" x14ac:dyDescent="0.2">
      <c r="A113" s="1">
        <v>45016</v>
      </c>
      <c r="B113">
        <v>5</v>
      </c>
      <c r="C113" t="s">
        <v>16</v>
      </c>
      <c r="D113" s="2">
        <v>0.40555555555555556</v>
      </c>
      <c r="E113">
        <v>13009.57</v>
      </c>
      <c r="F113" s="2">
        <v>0.41111111111111109</v>
      </c>
      <c r="G113">
        <v>13032.33</v>
      </c>
      <c r="H113">
        <v>13000.46</v>
      </c>
      <c r="I113">
        <v>13032.33</v>
      </c>
      <c r="J113" t="s">
        <v>14</v>
      </c>
      <c r="K113">
        <v>22.77</v>
      </c>
      <c r="L113" s="9">
        <v>2.5</v>
      </c>
      <c r="M113">
        <v>1</v>
      </c>
      <c r="N113">
        <f t="shared" si="2"/>
        <v>0</v>
      </c>
      <c r="O113">
        <f t="shared" si="3"/>
        <v>1</v>
      </c>
    </row>
    <row r="114" spans="1:15" x14ac:dyDescent="0.2">
      <c r="A114" s="1">
        <v>45016</v>
      </c>
      <c r="B114">
        <v>5</v>
      </c>
      <c r="C114" t="s">
        <v>16</v>
      </c>
      <c r="D114" s="2">
        <v>0.44305555555555554</v>
      </c>
      <c r="E114">
        <v>13050.04</v>
      </c>
      <c r="F114" s="2">
        <v>0.47361111111111109</v>
      </c>
      <c r="G114">
        <v>13072.87</v>
      </c>
      <c r="H114">
        <v>13040.9</v>
      </c>
      <c r="I114">
        <v>13072.87</v>
      </c>
      <c r="J114" t="s">
        <v>14</v>
      </c>
      <c r="K114">
        <v>22.84</v>
      </c>
      <c r="L114" s="9">
        <v>2.5</v>
      </c>
      <c r="M114">
        <v>1</v>
      </c>
      <c r="N114">
        <f t="shared" si="2"/>
        <v>0</v>
      </c>
      <c r="O114">
        <f t="shared" si="3"/>
        <v>2</v>
      </c>
    </row>
    <row r="115" spans="1:15" x14ac:dyDescent="0.2">
      <c r="A115" s="1">
        <v>45020</v>
      </c>
      <c r="B115">
        <v>2</v>
      </c>
      <c r="C115" t="s">
        <v>13</v>
      </c>
      <c r="D115" s="2">
        <v>0.40694444444444444</v>
      </c>
      <c r="E115">
        <v>13123.44</v>
      </c>
      <c r="F115" s="2">
        <v>0.40763888888888888</v>
      </c>
      <c r="G115">
        <v>13132.62</v>
      </c>
      <c r="H115">
        <v>13132.62</v>
      </c>
      <c r="I115">
        <v>13100.47</v>
      </c>
      <c r="J115" t="s">
        <v>15</v>
      </c>
      <c r="K115">
        <v>-9.19</v>
      </c>
      <c r="L115" s="9">
        <v>-1</v>
      </c>
      <c r="M115">
        <v>0</v>
      </c>
      <c r="N115">
        <f t="shared" si="2"/>
        <v>1</v>
      </c>
      <c r="O115">
        <f t="shared" si="3"/>
        <v>0</v>
      </c>
    </row>
    <row r="116" spans="1:15" x14ac:dyDescent="0.2">
      <c r="A116" s="1">
        <v>45020</v>
      </c>
      <c r="B116">
        <v>2</v>
      </c>
      <c r="C116" t="s">
        <v>16</v>
      </c>
      <c r="D116" s="2">
        <v>0.42777777777777776</v>
      </c>
      <c r="E116">
        <v>13191.89</v>
      </c>
      <c r="F116" s="2">
        <v>0.4284722222222222</v>
      </c>
      <c r="G116">
        <v>13182.65</v>
      </c>
      <c r="H116">
        <v>13182.65</v>
      </c>
      <c r="I116">
        <v>13214.97</v>
      </c>
      <c r="J116" t="s">
        <v>15</v>
      </c>
      <c r="K116">
        <v>-9.23</v>
      </c>
      <c r="L116" s="9">
        <v>-1</v>
      </c>
      <c r="M116">
        <v>0</v>
      </c>
      <c r="N116">
        <f t="shared" si="2"/>
        <v>2</v>
      </c>
      <c r="O116">
        <f t="shared" si="3"/>
        <v>0</v>
      </c>
    </row>
    <row r="117" spans="1:15" x14ac:dyDescent="0.2">
      <c r="A117" s="1">
        <v>45020</v>
      </c>
      <c r="B117">
        <v>2</v>
      </c>
      <c r="C117" t="s">
        <v>13</v>
      </c>
      <c r="D117" s="2">
        <v>0.4513888888888889</v>
      </c>
      <c r="E117">
        <v>13146.73</v>
      </c>
      <c r="F117" s="2">
        <v>0.45416666666666666</v>
      </c>
      <c r="G117">
        <v>13155.94</v>
      </c>
      <c r="H117">
        <v>13155.94</v>
      </c>
      <c r="I117">
        <v>13123.73</v>
      </c>
      <c r="J117" t="s">
        <v>15</v>
      </c>
      <c r="K117">
        <v>-9.1999999999999993</v>
      </c>
      <c r="L117" s="9">
        <v>-1</v>
      </c>
      <c r="M117">
        <v>0</v>
      </c>
      <c r="N117">
        <f t="shared" si="2"/>
        <v>3</v>
      </c>
      <c r="O117">
        <f t="shared" si="3"/>
        <v>0</v>
      </c>
    </row>
    <row r="118" spans="1:15" x14ac:dyDescent="0.2">
      <c r="A118" s="1">
        <v>45022</v>
      </c>
      <c r="B118">
        <v>4</v>
      </c>
      <c r="C118" t="s">
        <v>13</v>
      </c>
      <c r="D118" s="2">
        <v>0.40069444444444446</v>
      </c>
      <c r="E118">
        <v>12859.9</v>
      </c>
      <c r="F118" s="2">
        <v>0.40138888888888891</v>
      </c>
      <c r="G118">
        <v>12868.9</v>
      </c>
      <c r="H118">
        <v>12868.9</v>
      </c>
      <c r="I118">
        <v>12837.39</v>
      </c>
      <c r="J118" t="s">
        <v>15</v>
      </c>
      <c r="K118">
        <v>-9</v>
      </c>
      <c r="L118" s="9">
        <v>-1</v>
      </c>
      <c r="M118">
        <v>0</v>
      </c>
      <c r="N118">
        <f t="shared" si="2"/>
        <v>4</v>
      </c>
      <c r="O118">
        <f t="shared" si="3"/>
        <v>0</v>
      </c>
    </row>
    <row r="119" spans="1:15" x14ac:dyDescent="0.2">
      <c r="A119" s="1">
        <v>45022</v>
      </c>
      <c r="B119">
        <v>4</v>
      </c>
      <c r="C119" t="s">
        <v>16</v>
      </c>
      <c r="D119" s="2">
        <v>0.42291666666666666</v>
      </c>
      <c r="E119">
        <v>12911.47</v>
      </c>
      <c r="F119" s="2">
        <v>0.42430555555555555</v>
      </c>
      <c r="G119">
        <v>12934.06</v>
      </c>
      <c r="H119">
        <v>12902.43</v>
      </c>
      <c r="I119">
        <v>12934.06</v>
      </c>
      <c r="J119" t="s">
        <v>14</v>
      </c>
      <c r="K119">
        <v>22.6</v>
      </c>
      <c r="L119" s="9">
        <v>2.5</v>
      </c>
      <c r="M119">
        <v>1</v>
      </c>
      <c r="N119">
        <f t="shared" si="2"/>
        <v>0</v>
      </c>
      <c r="O119">
        <f t="shared" si="3"/>
        <v>1</v>
      </c>
    </row>
    <row r="120" spans="1:15" x14ac:dyDescent="0.2">
      <c r="A120" s="1">
        <v>45026</v>
      </c>
      <c r="B120">
        <v>1</v>
      </c>
      <c r="C120" t="s">
        <v>13</v>
      </c>
      <c r="D120" s="2">
        <v>0.39583333333333331</v>
      </c>
      <c r="E120">
        <v>12933.19</v>
      </c>
      <c r="F120" s="2">
        <v>0.3972222222222222</v>
      </c>
      <c r="G120">
        <v>12910.55</v>
      </c>
      <c r="H120">
        <v>12942.24</v>
      </c>
      <c r="I120">
        <v>12910.55</v>
      </c>
      <c r="J120" t="s">
        <v>14</v>
      </c>
      <c r="K120">
        <v>22.63</v>
      </c>
      <c r="L120" s="9">
        <v>2.5</v>
      </c>
      <c r="M120">
        <v>1</v>
      </c>
      <c r="N120">
        <f t="shared" si="2"/>
        <v>0</v>
      </c>
      <c r="O120">
        <f t="shared" si="3"/>
        <v>2</v>
      </c>
    </row>
    <row r="121" spans="1:15" x14ac:dyDescent="0.2">
      <c r="A121" s="1">
        <v>45026</v>
      </c>
      <c r="B121">
        <v>1</v>
      </c>
      <c r="C121" t="s">
        <v>16</v>
      </c>
      <c r="D121" s="2">
        <v>0.42986111111111114</v>
      </c>
      <c r="E121">
        <v>12902.03</v>
      </c>
      <c r="F121" s="2">
        <v>0.43055555555555558</v>
      </c>
      <c r="G121">
        <v>12893</v>
      </c>
      <c r="H121">
        <v>12893</v>
      </c>
      <c r="I121">
        <v>12924.61</v>
      </c>
      <c r="J121" t="s">
        <v>15</v>
      </c>
      <c r="K121">
        <v>-9.0299999999999994</v>
      </c>
      <c r="L121" s="9">
        <v>-1</v>
      </c>
      <c r="M121">
        <v>0</v>
      </c>
      <c r="N121">
        <f t="shared" si="2"/>
        <v>1</v>
      </c>
      <c r="O121">
        <f t="shared" si="3"/>
        <v>0</v>
      </c>
    </row>
    <row r="122" spans="1:15" x14ac:dyDescent="0.2">
      <c r="A122" s="1">
        <v>45026</v>
      </c>
      <c r="B122">
        <v>1</v>
      </c>
      <c r="C122" t="s">
        <v>16</v>
      </c>
      <c r="D122" s="2">
        <v>0.44513888888888886</v>
      </c>
      <c r="E122">
        <v>12914.18</v>
      </c>
      <c r="F122" s="2">
        <v>0.46111111111111114</v>
      </c>
      <c r="G122">
        <v>12936.78</v>
      </c>
      <c r="H122">
        <v>12905.14</v>
      </c>
      <c r="I122">
        <v>12936.78</v>
      </c>
      <c r="J122" t="s">
        <v>14</v>
      </c>
      <c r="K122">
        <v>22.6</v>
      </c>
      <c r="L122" s="9">
        <v>2.5</v>
      </c>
      <c r="M122">
        <v>1</v>
      </c>
      <c r="N122">
        <f t="shared" si="2"/>
        <v>0</v>
      </c>
      <c r="O122">
        <f t="shared" si="3"/>
        <v>1</v>
      </c>
    </row>
    <row r="123" spans="1:15" x14ac:dyDescent="0.2">
      <c r="A123" s="1">
        <v>45027</v>
      </c>
      <c r="B123">
        <v>2</v>
      </c>
      <c r="C123" t="s">
        <v>13</v>
      </c>
      <c r="D123" s="2">
        <v>0.40555555555555556</v>
      </c>
      <c r="E123">
        <v>13001.38</v>
      </c>
      <c r="F123" s="2">
        <v>0.40833333333333333</v>
      </c>
      <c r="G123">
        <v>13010.48</v>
      </c>
      <c r="H123">
        <v>13010.48</v>
      </c>
      <c r="I123">
        <v>12978.62</v>
      </c>
      <c r="J123" t="s">
        <v>15</v>
      </c>
      <c r="K123">
        <v>-9.1</v>
      </c>
      <c r="L123" s="9">
        <v>-1</v>
      </c>
      <c r="M123">
        <v>0</v>
      </c>
      <c r="N123">
        <f t="shared" si="2"/>
        <v>1</v>
      </c>
      <c r="O123">
        <f t="shared" si="3"/>
        <v>0</v>
      </c>
    </row>
    <row r="124" spans="1:15" x14ac:dyDescent="0.2">
      <c r="A124" s="1">
        <v>45027</v>
      </c>
      <c r="B124">
        <v>2</v>
      </c>
      <c r="C124" t="s">
        <v>13</v>
      </c>
      <c r="D124" s="2">
        <v>0.45</v>
      </c>
      <c r="E124">
        <v>12960.9</v>
      </c>
      <c r="F124" s="2">
        <v>0.45069444444444445</v>
      </c>
      <c r="G124">
        <v>12969.98</v>
      </c>
      <c r="H124">
        <v>12969.98</v>
      </c>
      <c r="I124">
        <v>12938.22</v>
      </c>
      <c r="J124" t="s">
        <v>15</v>
      </c>
      <c r="K124">
        <v>-9.07</v>
      </c>
      <c r="L124" s="9">
        <v>-1</v>
      </c>
      <c r="M124">
        <v>0</v>
      </c>
      <c r="N124">
        <f t="shared" si="2"/>
        <v>2</v>
      </c>
      <c r="O124">
        <f t="shared" si="3"/>
        <v>0</v>
      </c>
    </row>
    <row r="125" spans="1:15" x14ac:dyDescent="0.2">
      <c r="A125" s="1">
        <v>45028</v>
      </c>
      <c r="B125">
        <v>3</v>
      </c>
      <c r="C125" t="s">
        <v>13</v>
      </c>
      <c r="D125" s="2">
        <v>0.39583333333333331</v>
      </c>
      <c r="E125">
        <v>13045.43</v>
      </c>
      <c r="F125" s="2">
        <v>0.39652777777777776</v>
      </c>
      <c r="G125">
        <v>13054.57</v>
      </c>
      <c r="H125">
        <v>13054.57</v>
      </c>
      <c r="I125">
        <v>13022.61</v>
      </c>
      <c r="J125" t="s">
        <v>15</v>
      </c>
      <c r="K125">
        <v>-9.1300000000000008</v>
      </c>
      <c r="L125" s="9">
        <v>-1</v>
      </c>
      <c r="M125">
        <v>0</v>
      </c>
      <c r="N125">
        <f t="shared" si="2"/>
        <v>3</v>
      </c>
      <c r="O125">
        <f t="shared" si="3"/>
        <v>0</v>
      </c>
    </row>
    <row r="126" spans="1:15" x14ac:dyDescent="0.2">
      <c r="A126" s="1">
        <v>45028</v>
      </c>
      <c r="B126">
        <v>3</v>
      </c>
      <c r="C126" t="s">
        <v>13</v>
      </c>
      <c r="D126" s="2">
        <v>0.45694444444444443</v>
      </c>
      <c r="E126">
        <v>12920.64</v>
      </c>
      <c r="F126" s="2">
        <v>0.45902777777777776</v>
      </c>
      <c r="G126">
        <v>12898.03</v>
      </c>
      <c r="H126">
        <v>12929.69</v>
      </c>
      <c r="I126">
        <v>12898.03</v>
      </c>
      <c r="J126" t="s">
        <v>14</v>
      </c>
      <c r="K126">
        <v>22.61</v>
      </c>
      <c r="L126" s="9">
        <v>2.5</v>
      </c>
      <c r="M126">
        <v>1</v>
      </c>
      <c r="N126">
        <f t="shared" si="2"/>
        <v>0</v>
      </c>
      <c r="O126">
        <f t="shared" si="3"/>
        <v>1</v>
      </c>
    </row>
    <row r="127" spans="1:15" x14ac:dyDescent="0.2">
      <c r="A127" s="1">
        <v>45029</v>
      </c>
      <c r="B127">
        <v>4</v>
      </c>
      <c r="C127" t="s">
        <v>16</v>
      </c>
      <c r="D127" s="2">
        <v>0.40138888888888891</v>
      </c>
      <c r="E127">
        <v>12946.27</v>
      </c>
      <c r="F127" s="2">
        <v>0.40208333333333335</v>
      </c>
      <c r="G127">
        <v>12968.93</v>
      </c>
      <c r="H127">
        <v>12937.21</v>
      </c>
      <c r="I127">
        <v>12968.93</v>
      </c>
      <c r="J127" t="s">
        <v>14</v>
      </c>
      <c r="K127">
        <v>22.66</v>
      </c>
      <c r="L127" s="9">
        <v>2.5</v>
      </c>
      <c r="M127">
        <v>1</v>
      </c>
      <c r="N127">
        <f t="shared" si="2"/>
        <v>0</v>
      </c>
      <c r="O127">
        <f t="shared" si="3"/>
        <v>2</v>
      </c>
    </row>
    <row r="128" spans="1:15" x14ac:dyDescent="0.2">
      <c r="A128" s="1">
        <v>45030</v>
      </c>
      <c r="B128">
        <v>5</v>
      </c>
      <c r="C128" t="s">
        <v>16</v>
      </c>
      <c r="D128" s="2">
        <v>0.3972222222222222</v>
      </c>
      <c r="E128">
        <v>13039.1</v>
      </c>
      <c r="F128" s="2">
        <v>0.4</v>
      </c>
      <c r="G128">
        <v>13061.91</v>
      </c>
      <c r="H128">
        <v>13029.97</v>
      </c>
      <c r="I128">
        <v>13061.91</v>
      </c>
      <c r="J128" t="s">
        <v>14</v>
      </c>
      <c r="K128">
        <v>22.82</v>
      </c>
      <c r="L128" s="9">
        <v>2.5</v>
      </c>
      <c r="M128">
        <v>1</v>
      </c>
      <c r="N128">
        <f t="shared" si="2"/>
        <v>0</v>
      </c>
      <c r="O128">
        <f t="shared" si="3"/>
        <v>3</v>
      </c>
    </row>
    <row r="129" spans="1:15" x14ac:dyDescent="0.2">
      <c r="A129" s="1">
        <v>45030</v>
      </c>
      <c r="B129">
        <v>5</v>
      </c>
      <c r="C129" t="s">
        <v>13</v>
      </c>
      <c r="D129" s="2">
        <v>0.43472222222222223</v>
      </c>
      <c r="E129">
        <v>13044.36</v>
      </c>
      <c r="F129" s="2">
        <v>0.44583333333333336</v>
      </c>
      <c r="G129">
        <v>13021.53</v>
      </c>
      <c r="H129">
        <v>13053.49</v>
      </c>
      <c r="I129">
        <v>13021.53</v>
      </c>
      <c r="J129" t="s">
        <v>14</v>
      </c>
      <c r="K129">
        <v>22.83</v>
      </c>
      <c r="L129" s="9">
        <v>2.5</v>
      </c>
      <c r="M129">
        <v>1</v>
      </c>
      <c r="N129">
        <f t="shared" si="2"/>
        <v>0</v>
      </c>
      <c r="O129">
        <f t="shared" si="3"/>
        <v>4</v>
      </c>
    </row>
    <row r="130" spans="1:15" x14ac:dyDescent="0.2">
      <c r="A130" s="1">
        <v>45033</v>
      </c>
      <c r="B130">
        <v>1</v>
      </c>
      <c r="C130" t="s">
        <v>13</v>
      </c>
      <c r="D130" s="2">
        <v>0.39583333333333331</v>
      </c>
      <c r="E130">
        <v>13061.94</v>
      </c>
      <c r="F130" s="2">
        <v>0.39791666666666664</v>
      </c>
      <c r="G130">
        <v>13071.08</v>
      </c>
      <c r="H130">
        <v>13071.08</v>
      </c>
      <c r="I130">
        <v>13039.08</v>
      </c>
      <c r="J130" t="s">
        <v>15</v>
      </c>
      <c r="K130">
        <v>-9.14</v>
      </c>
      <c r="L130" s="9">
        <v>-1</v>
      </c>
      <c r="M130">
        <v>0</v>
      </c>
      <c r="N130">
        <f t="shared" ref="N130:N193" si="4">IF(M130=0, IF(M129=0, N129+1, 1), 0)</f>
        <v>1</v>
      </c>
      <c r="O130">
        <f t="shared" ref="O130:O193" si="5">IF(M130=1, IF(M129=1, O129+1, 1), 0)</f>
        <v>0</v>
      </c>
    </row>
    <row r="131" spans="1:15" x14ac:dyDescent="0.2">
      <c r="A131" s="1">
        <v>45033</v>
      </c>
      <c r="B131">
        <v>1</v>
      </c>
      <c r="C131" t="s">
        <v>13</v>
      </c>
      <c r="D131" s="2">
        <v>0.44722222222222224</v>
      </c>
      <c r="E131">
        <v>13020.75</v>
      </c>
      <c r="F131" s="2">
        <v>0.45</v>
      </c>
      <c r="G131">
        <v>13029.86</v>
      </c>
      <c r="H131">
        <v>13029.86</v>
      </c>
      <c r="I131">
        <v>12997.96</v>
      </c>
      <c r="J131" t="s">
        <v>15</v>
      </c>
      <c r="K131">
        <v>-9.11</v>
      </c>
      <c r="L131" s="9">
        <v>-1</v>
      </c>
      <c r="M131">
        <v>0</v>
      </c>
      <c r="N131">
        <f t="shared" si="4"/>
        <v>2</v>
      </c>
      <c r="O131">
        <f t="shared" si="5"/>
        <v>0</v>
      </c>
    </row>
    <row r="132" spans="1:15" x14ac:dyDescent="0.2">
      <c r="A132" s="1">
        <v>45034</v>
      </c>
      <c r="B132">
        <v>2</v>
      </c>
      <c r="C132" t="s">
        <v>13</v>
      </c>
      <c r="D132" s="2">
        <v>0.39930555555555558</v>
      </c>
      <c r="E132">
        <v>13168.07</v>
      </c>
      <c r="F132" s="2">
        <v>0.4</v>
      </c>
      <c r="G132">
        <v>13177.28</v>
      </c>
      <c r="H132">
        <v>13177.28</v>
      </c>
      <c r="I132">
        <v>13145.02</v>
      </c>
      <c r="J132" t="s">
        <v>15</v>
      </c>
      <c r="K132">
        <v>-9.2200000000000006</v>
      </c>
      <c r="L132" s="9">
        <v>-1</v>
      </c>
      <c r="M132">
        <v>0</v>
      </c>
      <c r="N132">
        <f t="shared" si="4"/>
        <v>3</v>
      </c>
      <c r="O132">
        <f t="shared" si="5"/>
        <v>0</v>
      </c>
    </row>
    <row r="133" spans="1:15" x14ac:dyDescent="0.2">
      <c r="A133" s="1">
        <v>45034</v>
      </c>
      <c r="B133">
        <v>2</v>
      </c>
      <c r="C133" t="s">
        <v>13</v>
      </c>
      <c r="D133" s="2">
        <v>0.42152777777777778</v>
      </c>
      <c r="E133">
        <v>13118.19</v>
      </c>
      <c r="F133" s="2">
        <v>0.43402777777777779</v>
      </c>
      <c r="G133">
        <v>13095.23</v>
      </c>
      <c r="H133">
        <v>13127.37</v>
      </c>
      <c r="I133">
        <v>13095.23</v>
      </c>
      <c r="J133" t="s">
        <v>14</v>
      </c>
      <c r="K133">
        <v>22.96</v>
      </c>
      <c r="L133" s="9">
        <v>2.5</v>
      </c>
      <c r="M133">
        <v>1</v>
      </c>
      <c r="N133">
        <f t="shared" si="4"/>
        <v>0</v>
      </c>
      <c r="O133">
        <f t="shared" si="5"/>
        <v>1</v>
      </c>
    </row>
    <row r="134" spans="1:15" x14ac:dyDescent="0.2">
      <c r="A134" s="1">
        <v>45035</v>
      </c>
      <c r="B134">
        <v>3</v>
      </c>
      <c r="C134" t="s">
        <v>16</v>
      </c>
      <c r="D134" s="2">
        <v>0.40069444444444446</v>
      </c>
      <c r="E134">
        <v>13017.69</v>
      </c>
      <c r="F134" s="2">
        <v>0.40277777777777779</v>
      </c>
      <c r="G134">
        <v>13008.58</v>
      </c>
      <c r="H134">
        <v>13008.58</v>
      </c>
      <c r="I134">
        <v>13040.47</v>
      </c>
      <c r="J134" t="s">
        <v>15</v>
      </c>
      <c r="K134">
        <v>-9.11</v>
      </c>
      <c r="L134" s="9">
        <v>-1</v>
      </c>
      <c r="M134">
        <v>0</v>
      </c>
      <c r="N134">
        <f t="shared" si="4"/>
        <v>1</v>
      </c>
      <c r="O134">
        <f t="shared" si="5"/>
        <v>0</v>
      </c>
    </row>
    <row r="135" spans="1:15" x14ac:dyDescent="0.2">
      <c r="A135" s="1">
        <v>45035</v>
      </c>
      <c r="B135">
        <v>3</v>
      </c>
      <c r="C135" t="s">
        <v>16</v>
      </c>
      <c r="D135" s="2">
        <v>0.44583333333333336</v>
      </c>
      <c r="E135">
        <v>13034.07</v>
      </c>
      <c r="F135" s="2">
        <v>0.45902777777777776</v>
      </c>
      <c r="G135">
        <v>13056.88</v>
      </c>
      <c r="H135">
        <v>13024.95</v>
      </c>
      <c r="I135">
        <v>13056.88</v>
      </c>
      <c r="J135" t="s">
        <v>14</v>
      </c>
      <c r="K135">
        <v>22.81</v>
      </c>
      <c r="L135" s="9">
        <v>2.5</v>
      </c>
      <c r="M135">
        <v>1</v>
      </c>
      <c r="N135">
        <f t="shared" si="4"/>
        <v>0</v>
      </c>
      <c r="O135">
        <f t="shared" si="5"/>
        <v>1</v>
      </c>
    </row>
    <row r="136" spans="1:15" x14ac:dyDescent="0.2">
      <c r="A136" s="1">
        <v>45036</v>
      </c>
      <c r="B136">
        <v>4</v>
      </c>
      <c r="C136" t="s">
        <v>16</v>
      </c>
      <c r="D136" s="2">
        <v>0.40486111111111112</v>
      </c>
      <c r="E136">
        <v>12996.99</v>
      </c>
      <c r="F136" s="2">
        <v>0.40694444444444444</v>
      </c>
      <c r="G136">
        <v>13019.74</v>
      </c>
      <c r="H136">
        <v>12987.9</v>
      </c>
      <c r="I136">
        <v>13019.74</v>
      </c>
      <c r="J136" t="s">
        <v>14</v>
      </c>
      <c r="K136">
        <v>22.74</v>
      </c>
      <c r="L136" s="9">
        <v>2.5</v>
      </c>
      <c r="M136">
        <v>1</v>
      </c>
      <c r="N136">
        <f t="shared" si="4"/>
        <v>0</v>
      </c>
      <c r="O136">
        <f t="shared" si="5"/>
        <v>2</v>
      </c>
    </row>
    <row r="137" spans="1:15" x14ac:dyDescent="0.2">
      <c r="A137" s="1">
        <v>45040</v>
      </c>
      <c r="B137">
        <v>1</v>
      </c>
      <c r="C137" t="s">
        <v>13</v>
      </c>
      <c r="D137" s="2">
        <v>0.39583333333333331</v>
      </c>
      <c r="E137">
        <v>12987.01</v>
      </c>
      <c r="F137" s="2">
        <v>0.39791666666666664</v>
      </c>
      <c r="G137">
        <v>12996.1</v>
      </c>
      <c r="H137">
        <v>12996.1</v>
      </c>
      <c r="I137">
        <v>12964.28</v>
      </c>
      <c r="J137" t="s">
        <v>15</v>
      </c>
      <c r="K137">
        <v>-9.09</v>
      </c>
      <c r="L137" s="9">
        <v>-1</v>
      </c>
      <c r="M137">
        <v>0</v>
      </c>
      <c r="N137">
        <f t="shared" si="4"/>
        <v>1</v>
      </c>
      <c r="O137">
        <f t="shared" si="5"/>
        <v>0</v>
      </c>
    </row>
    <row r="138" spans="1:15" x14ac:dyDescent="0.2">
      <c r="A138" s="1">
        <v>45040</v>
      </c>
      <c r="B138">
        <v>1</v>
      </c>
      <c r="C138" t="s">
        <v>16</v>
      </c>
      <c r="D138" s="2">
        <v>0.40486111111111112</v>
      </c>
      <c r="E138">
        <v>13034.53</v>
      </c>
      <c r="F138" s="2">
        <v>0.40972222222222221</v>
      </c>
      <c r="G138">
        <v>13025.4</v>
      </c>
      <c r="H138">
        <v>13025.4</v>
      </c>
      <c r="I138">
        <v>13057.34</v>
      </c>
      <c r="J138" t="s">
        <v>15</v>
      </c>
      <c r="K138">
        <v>-9.1199999999999992</v>
      </c>
      <c r="L138" s="9">
        <v>-1</v>
      </c>
      <c r="M138">
        <v>0</v>
      </c>
      <c r="N138">
        <f t="shared" si="4"/>
        <v>2</v>
      </c>
      <c r="O138">
        <f t="shared" si="5"/>
        <v>0</v>
      </c>
    </row>
    <row r="139" spans="1:15" x14ac:dyDescent="0.2">
      <c r="A139" s="1">
        <v>45040</v>
      </c>
      <c r="B139">
        <v>1</v>
      </c>
      <c r="C139" t="s">
        <v>13</v>
      </c>
      <c r="D139" s="2">
        <v>0.42222222222222222</v>
      </c>
      <c r="E139">
        <v>12991.34</v>
      </c>
      <c r="F139" s="2">
        <v>0.42569444444444443</v>
      </c>
      <c r="G139">
        <v>13000.44</v>
      </c>
      <c r="H139">
        <v>13000.44</v>
      </c>
      <c r="I139">
        <v>12968.61</v>
      </c>
      <c r="J139" t="s">
        <v>15</v>
      </c>
      <c r="K139">
        <v>-9.09</v>
      </c>
      <c r="L139" s="9">
        <v>-1</v>
      </c>
      <c r="M139">
        <v>0</v>
      </c>
      <c r="N139">
        <f t="shared" si="4"/>
        <v>3</v>
      </c>
      <c r="O139">
        <f t="shared" si="5"/>
        <v>0</v>
      </c>
    </row>
    <row r="140" spans="1:15" x14ac:dyDescent="0.2">
      <c r="A140" s="1">
        <v>45042</v>
      </c>
      <c r="B140">
        <v>3</v>
      </c>
      <c r="C140" t="s">
        <v>13</v>
      </c>
      <c r="D140" s="2">
        <v>0.39930555555555558</v>
      </c>
      <c r="E140">
        <v>12840.3</v>
      </c>
      <c r="F140" s="2">
        <v>0.4</v>
      </c>
      <c r="G140">
        <v>12849.28</v>
      </c>
      <c r="H140">
        <v>12849.28</v>
      </c>
      <c r="I140">
        <v>12817.82</v>
      </c>
      <c r="J140" t="s">
        <v>15</v>
      </c>
      <c r="K140">
        <v>-8.99</v>
      </c>
      <c r="L140" s="9">
        <v>-1</v>
      </c>
      <c r="M140">
        <v>0</v>
      </c>
      <c r="N140">
        <f t="shared" si="4"/>
        <v>4</v>
      </c>
      <c r="O140">
        <f t="shared" si="5"/>
        <v>0</v>
      </c>
    </row>
    <row r="141" spans="1:15" x14ac:dyDescent="0.2">
      <c r="A141" s="1">
        <v>45042</v>
      </c>
      <c r="B141">
        <v>3</v>
      </c>
      <c r="C141" t="s">
        <v>13</v>
      </c>
      <c r="D141" s="2">
        <v>0.43333333333333335</v>
      </c>
      <c r="E141">
        <v>12822.47</v>
      </c>
      <c r="F141" s="2">
        <v>0.43680555555555556</v>
      </c>
      <c r="G141">
        <v>12831.45</v>
      </c>
      <c r="H141">
        <v>12831.45</v>
      </c>
      <c r="I141">
        <v>12800.03</v>
      </c>
      <c r="J141" t="s">
        <v>15</v>
      </c>
      <c r="K141">
        <v>-8.98</v>
      </c>
      <c r="L141" s="9">
        <v>-1</v>
      </c>
      <c r="M141">
        <v>0</v>
      </c>
      <c r="N141">
        <f t="shared" si="4"/>
        <v>5</v>
      </c>
      <c r="O141">
        <f t="shared" si="5"/>
        <v>0</v>
      </c>
    </row>
    <row r="142" spans="1:15" x14ac:dyDescent="0.2">
      <c r="A142" s="1">
        <v>45043</v>
      </c>
      <c r="B142">
        <v>4</v>
      </c>
      <c r="C142" t="s">
        <v>16</v>
      </c>
      <c r="D142" s="2">
        <v>0.42569444444444443</v>
      </c>
      <c r="E142">
        <v>12976.08</v>
      </c>
      <c r="F142" s="2">
        <v>0.42638888888888887</v>
      </c>
      <c r="G142">
        <v>12998.79</v>
      </c>
      <c r="H142">
        <v>12967</v>
      </c>
      <c r="I142">
        <v>12998.79</v>
      </c>
      <c r="J142" t="s">
        <v>14</v>
      </c>
      <c r="K142">
        <v>22.71</v>
      </c>
      <c r="L142" s="9">
        <v>2.5</v>
      </c>
      <c r="M142">
        <v>1</v>
      </c>
      <c r="N142">
        <f t="shared" si="4"/>
        <v>0</v>
      </c>
      <c r="O142">
        <f t="shared" si="5"/>
        <v>1</v>
      </c>
    </row>
    <row r="143" spans="1:15" x14ac:dyDescent="0.2">
      <c r="A143" s="1">
        <v>45044</v>
      </c>
      <c r="B143">
        <v>5</v>
      </c>
      <c r="C143" t="s">
        <v>13</v>
      </c>
      <c r="D143" s="2">
        <v>0.40625</v>
      </c>
      <c r="E143">
        <v>13110.22</v>
      </c>
      <c r="F143" s="2">
        <v>0.40694444444444444</v>
      </c>
      <c r="G143">
        <v>13119.4</v>
      </c>
      <c r="H143">
        <v>13119.4</v>
      </c>
      <c r="I143">
        <v>13087.28</v>
      </c>
      <c r="J143" t="s">
        <v>15</v>
      </c>
      <c r="K143">
        <v>-9.18</v>
      </c>
      <c r="L143" s="9">
        <v>-1</v>
      </c>
      <c r="M143">
        <v>0</v>
      </c>
      <c r="N143">
        <f t="shared" si="4"/>
        <v>1</v>
      </c>
      <c r="O143">
        <f t="shared" si="5"/>
        <v>0</v>
      </c>
    </row>
    <row r="144" spans="1:15" x14ac:dyDescent="0.2">
      <c r="A144" s="1">
        <v>45044</v>
      </c>
      <c r="B144">
        <v>5</v>
      </c>
      <c r="C144" t="s">
        <v>16</v>
      </c>
      <c r="D144" s="2">
        <v>0.42986111111111114</v>
      </c>
      <c r="E144">
        <v>13190.16</v>
      </c>
      <c r="F144" s="2">
        <v>0.43472222222222223</v>
      </c>
      <c r="G144">
        <v>13213.25</v>
      </c>
      <c r="H144">
        <v>13180.93</v>
      </c>
      <c r="I144">
        <v>13213.25</v>
      </c>
      <c r="J144" t="s">
        <v>14</v>
      </c>
      <c r="K144">
        <v>23.08</v>
      </c>
      <c r="L144" s="9">
        <v>2.5</v>
      </c>
      <c r="M144">
        <v>1</v>
      </c>
      <c r="N144">
        <f t="shared" si="4"/>
        <v>0</v>
      </c>
      <c r="O144">
        <f t="shared" si="5"/>
        <v>1</v>
      </c>
    </row>
    <row r="145" spans="1:15" x14ac:dyDescent="0.2">
      <c r="A145" s="1">
        <v>45048</v>
      </c>
      <c r="B145">
        <v>2</v>
      </c>
      <c r="C145" t="s">
        <v>13</v>
      </c>
      <c r="D145" s="2">
        <v>0.40486111111111112</v>
      </c>
      <c r="E145">
        <v>13206.62</v>
      </c>
      <c r="F145" s="2">
        <v>0.40555555555555556</v>
      </c>
      <c r="G145">
        <v>13215.87</v>
      </c>
      <c r="H145">
        <v>13215.87</v>
      </c>
      <c r="I145">
        <v>13183.51</v>
      </c>
      <c r="J145" t="s">
        <v>15</v>
      </c>
      <c r="K145">
        <v>-9.24</v>
      </c>
      <c r="L145" s="9">
        <v>-1</v>
      </c>
      <c r="M145">
        <v>0</v>
      </c>
      <c r="N145">
        <f t="shared" si="4"/>
        <v>1</v>
      </c>
      <c r="O145">
        <f t="shared" si="5"/>
        <v>0</v>
      </c>
    </row>
    <row r="146" spans="1:15" x14ac:dyDescent="0.2">
      <c r="A146" s="1">
        <v>45048</v>
      </c>
      <c r="B146">
        <v>2</v>
      </c>
      <c r="C146" t="s">
        <v>13</v>
      </c>
      <c r="D146" s="2">
        <v>0.4201388888888889</v>
      </c>
      <c r="E146">
        <v>13204.07</v>
      </c>
      <c r="F146" s="2">
        <v>0.4236111111111111</v>
      </c>
      <c r="G146">
        <v>13180.97</v>
      </c>
      <c r="H146">
        <v>13213.32</v>
      </c>
      <c r="I146">
        <v>13180.97</v>
      </c>
      <c r="J146" t="s">
        <v>14</v>
      </c>
      <c r="K146">
        <v>23.11</v>
      </c>
      <c r="L146" s="9">
        <v>2.5</v>
      </c>
      <c r="M146">
        <v>1</v>
      </c>
      <c r="N146">
        <f t="shared" si="4"/>
        <v>0</v>
      </c>
      <c r="O146">
        <f t="shared" si="5"/>
        <v>1</v>
      </c>
    </row>
    <row r="147" spans="1:15" x14ac:dyDescent="0.2">
      <c r="A147" s="1">
        <v>45050</v>
      </c>
      <c r="B147">
        <v>4</v>
      </c>
      <c r="C147" t="s">
        <v>13</v>
      </c>
      <c r="D147" s="2">
        <v>0.40486111111111112</v>
      </c>
      <c r="E147">
        <v>12986.7</v>
      </c>
      <c r="F147" s="2">
        <v>0.40555555555555556</v>
      </c>
      <c r="G147">
        <v>12963.97</v>
      </c>
      <c r="H147">
        <v>12995.79</v>
      </c>
      <c r="I147">
        <v>12963.97</v>
      </c>
      <c r="J147" t="s">
        <v>14</v>
      </c>
      <c r="K147">
        <v>22.73</v>
      </c>
      <c r="L147" s="9">
        <v>2.5</v>
      </c>
      <c r="M147">
        <v>1</v>
      </c>
      <c r="N147">
        <f t="shared" si="4"/>
        <v>0</v>
      </c>
      <c r="O147">
        <f t="shared" si="5"/>
        <v>2</v>
      </c>
    </row>
    <row r="148" spans="1:15" x14ac:dyDescent="0.2">
      <c r="A148" s="1">
        <v>45050</v>
      </c>
      <c r="B148">
        <v>4</v>
      </c>
      <c r="C148" t="s">
        <v>13</v>
      </c>
      <c r="D148" s="2">
        <v>0.43402777777777779</v>
      </c>
      <c r="E148">
        <v>12958.76</v>
      </c>
      <c r="F148" s="2">
        <v>0.44097222222222221</v>
      </c>
      <c r="G148">
        <v>12967.83</v>
      </c>
      <c r="H148">
        <v>12967.83</v>
      </c>
      <c r="I148">
        <v>12936.08</v>
      </c>
      <c r="J148" t="s">
        <v>15</v>
      </c>
      <c r="K148">
        <v>-9.07</v>
      </c>
      <c r="L148" s="9">
        <v>-1</v>
      </c>
      <c r="M148">
        <v>0</v>
      </c>
      <c r="N148">
        <f t="shared" si="4"/>
        <v>1</v>
      </c>
      <c r="O148">
        <f t="shared" si="5"/>
        <v>0</v>
      </c>
    </row>
    <row r="149" spans="1:15" x14ac:dyDescent="0.2">
      <c r="A149" s="1">
        <v>45051</v>
      </c>
      <c r="B149">
        <v>5</v>
      </c>
      <c r="C149" t="s">
        <v>16</v>
      </c>
      <c r="D149" s="2">
        <v>0.39583333333333331</v>
      </c>
      <c r="E149">
        <v>13068.18</v>
      </c>
      <c r="F149" s="2">
        <v>0.39652777777777776</v>
      </c>
      <c r="G149">
        <v>13059.03</v>
      </c>
      <c r="H149">
        <v>13059.03</v>
      </c>
      <c r="I149">
        <v>13091.05</v>
      </c>
      <c r="J149" t="s">
        <v>15</v>
      </c>
      <c r="K149">
        <v>-9.15</v>
      </c>
      <c r="L149" s="9">
        <v>-1</v>
      </c>
      <c r="M149">
        <v>0</v>
      </c>
      <c r="N149">
        <f t="shared" si="4"/>
        <v>2</v>
      </c>
      <c r="O149">
        <f t="shared" si="5"/>
        <v>0</v>
      </c>
    </row>
    <row r="150" spans="1:15" x14ac:dyDescent="0.2">
      <c r="A150" s="1">
        <v>45054</v>
      </c>
      <c r="B150">
        <v>1</v>
      </c>
      <c r="C150" t="s">
        <v>13</v>
      </c>
      <c r="D150" s="2">
        <v>0.40625</v>
      </c>
      <c r="E150">
        <v>13212.69</v>
      </c>
      <c r="F150" s="2">
        <v>0.41805555555555557</v>
      </c>
      <c r="G150">
        <v>13221.94</v>
      </c>
      <c r="H150">
        <v>13221.94</v>
      </c>
      <c r="I150">
        <v>13189.57</v>
      </c>
      <c r="J150" t="s">
        <v>15</v>
      </c>
      <c r="K150">
        <v>-9.25</v>
      </c>
      <c r="L150" s="9">
        <v>-1</v>
      </c>
      <c r="M150">
        <v>0</v>
      </c>
      <c r="N150">
        <f t="shared" si="4"/>
        <v>3</v>
      </c>
      <c r="O150">
        <f t="shared" si="5"/>
        <v>0</v>
      </c>
    </row>
    <row r="151" spans="1:15" x14ac:dyDescent="0.2">
      <c r="A151" s="1">
        <v>45054</v>
      </c>
      <c r="B151">
        <v>1</v>
      </c>
      <c r="C151" t="s">
        <v>16</v>
      </c>
      <c r="D151" s="2">
        <v>0.45347222222222222</v>
      </c>
      <c r="E151">
        <v>13225</v>
      </c>
      <c r="F151" s="2">
        <v>0.49027777777777776</v>
      </c>
      <c r="G151">
        <v>13248.15</v>
      </c>
      <c r="H151">
        <v>13215.75</v>
      </c>
      <c r="I151">
        <v>13248.15</v>
      </c>
      <c r="J151" t="s">
        <v>14</v>
      </c>
      <c r="K151">
        <v>23.14</v>
      </c>
      <c r="L151" s="9">
        <v>2.5</v>
      </c>
      <c r="M151">
        <v>1</v>
      </c>
      <c r="N151">
        <f t="shared" si="4"/>
        <v>0</v>
      </c>
      <c r="O151">
        <f t="shared" si="5"/>
        <v>1</v>
      </c>
    </row>
    <row r="152" spans="1:15" x14ac:dyDescent="0.2">
      <c r="A152" s="1">
        <v>45055</v>
      </c>
      <c r="B152">
        <v>2</v>
      </c>
      <c r="C152" t="s">
        <v>16</v>
      </c>
      <c r="D152" s="2">
        <v>0.40694444444444444</v>
      </c>
      <c r="E152">
        <v>13224.59</v>
      </c>
      <c r="F152" s="2">
        <v>0.41180555555555554</v>
      </c>
      <c r="G152">
        <v>13215.33</v>
      </c>
      <c r="H152">
        <v>13215.33</v>
      </c>
      <c r="I152">
        <v>13247.73</v>
      </c>
      <c r="J152" t="s">
        <v>15</v>
      </c>
      <c r="K152">
        <v>-9.26</v>
      </c>
      <c r="L152" s="9">
        <v>-1</v>
      </c>
      <c r="M152">
        <v>0</v>
      </c>
      <c r="N152">
        <f t="shared" si="4"/>
        <v>1</v>
      </c>
      <c r="O152">
        <f t="shared" si="5"/>
        <v>0</v>
      </c>
    </row>
    <row r="153" spans="1:15" x14ac:dyDescent="0.2">
      <c r="A153" s="1">
        <v>45055</v>
      </c>
      <c r="B153">
        <v>2</v>
      </c>
      <c r="C153" t="s">
        <v>16</v>
      </c>
      <c r="D153" s="2">
        <v>0.41805555555555557</v>
      </c>
      <c r="E153">
        <v>13243.5</v>
      </c>
      <c r="F153" s="2">
        <v>0.42152777777777778</v>
      </c>
      <c r="G153">
        <v>13234.23</v>
      </c>
      <c r="H153">
        <v>13234.23</v>
      </c>
      <c r="I153">
        <v>13266.67</v>
      </c>
      <c r="J153" t="s">
        <v>15</v>
      </c>
      <c r="K153">
        <v>-9.27</v>
      </c>
      <c r="L153" s="9">
        <v>-1</v>
      </c>
      <c r="M153">
        <v>0</v>
      </c>
      <c r="N153">
        <f t="shared" si="4"/>
        <v>2</v>
      </c>
      <c r="O153">
        <f t="shared" si="5"/>
        <v>0</v>
      </c>
    </row>
    <row r="154" spans="1:15" x14ac:dyDescent="0.2">
      <c r="A154" s="1">
        <v>45056</v>
      </c>
      <c r="B154">
        <v>3</v>
      </c>
      <c r="C154" t="s">
        <v>16</v>
      </c>
      <c r="D154" s="2">
        <v>0.42291666666666666</v>
      </c>
      <c r="E154">
        <v>13356.95</v>
      </c>
      <c r="F154" s="2">
        <v>0.42916666666666664</v>
      </c>
      <c r="G154">
        <v>13347.6</v>
      </c>
      <c r="H154">
        <v>13347.6</v>
      </c>
      <c r="I154">
        <v>13380.32</v>
      </c>
      <c r="J154" t="s">
        <v>15</v>
      </c>
      <c r="K154">
        <v>-9.35</v>
      </c>
      <c r="L154" s="9">
        <v>-1</v>
      </c>
      <c r="M154">
        <v>0</v>
      </c>
      <c r="N154">
        <f t="shared" si="4"/>
        <v>3</v>
      </c>
      <c r="O154">
        <f t="shared" si="5"/>
        <v>0</v>
      </c>
    </row>
    <row r="155" spans="1:15" x14ac:dyDescent="0.2">
      <c r="A155" s="1">
        <v>45056</v>
      </c>
      <c r="B155">
        <v>3</v>
      </c>
      <c r="C155" t="s">
        <v>13</v>
      </c>
      <c r="D155" s="2">
        <v>0.45</v>
      </c>
      <c r="E155">
        <v>13279.46</v>
      </c>
      <c r="F155" s="2">
        <v>0.45277777777777778</v>
      </c>
      <c r="G155">
        <v>13256.22</v>
      </c>
      <c r="H155">
        <v>13288.76</v>
      </c>
      <c r="I155">
        <v>13256.22</v>
      </c>
      <c r="J155" t="s">
        <v>14</v>
      </c>
      <c r="K155">
        <v>23.24</v>
      </c>
      <c r="L155" s="9">
        <v>2.5</v>
      </c>
      <c r="M155">
        <v>1</v>
      </c>
      <c r="N155">
        <f t="shared" si="4"/>
        <v>0</v>
      </c>
      <c r="O155">
        <f t="shared" si="5"/>
        <v>1</v>
      </c>
    </row>
    <row r="156" spans="1:15" x14ac:dyDescent="0.2">
      <c r="A156" s="1">
        <v>45057</v>
      </c>
      <c r="B156">
        <v>4</v>
      </c>
      <c r="C156" t="s">
        <v>13</v>
      </c>
      <c r="D156" s="2">
        <v>0.44583333333333336</v>
      </c>
      <c r="E156">
        <v>13307.54</v>
      </c>
      <c r="F156" s="2">
        <v>0.44791666666666669</v>
      </c>
      <c r="G156">
        <v>13316.86</v>
      </c>
      <c r="H156">
        <v>13316.86</v>
      </c>
      <c r="I156">
        <v>13284.25</v>
      </c>
      <c r="J156" t="s">
        <v>15</v>
      </c>
      <c r="K156">
        <v>-9.32</v>
      </c>
      <c r="L156" s="9">
        <v>-1</v>
      </c>
      <c r="M156">
        <v>0</v>
      </c>
      <c r="N156">
        <f t="shared" si="4"/>
        <v>1</v>
      </c>
      <c r="O156">
        <f t="shared" si="5"/>
        <v>0</v>
      </c>
    </row>
    <row r="157" spans="1:15" x14ac:dyDescent="0.2">
      <c r="A157" s="1">
        <v>45057</v>
      </c>
      <c r="B157">
        <v>4</v>
      </c>
      <c r="C157" t="s">
        <v>16</v>
      </c>
      <c r="D157" s="2">
        <v>0.45624999999999999</v>
      </c>
      <c r="E157">
        <v>13343.68</v>
      </c>
      <c r="F157" s="2">
        <v>0.46111111111111114</v>
      </c>
      <c r="G157">
        <v>13367.04</v>
      </c>
      <c r="H157">
        <v>13334.34</v>
      </c>
      <c r="I157">
        <v>13367.04</v>
      </c>
      <c r="J157" t="s">
        <v>14</v>
      </c>
      <c r="K157">
        <v>23.35</v>
      </c>
      <c r="L157" s="9">
        <v>2.5</v>
      </c>
      <c r="M157">
        <v>1</v>
      </c>
      <c r="N157">
        <f t="shared" si="4"/>
        <v>0</v>
      </c>
      <c r="O157">
        <f t="shared" si="5"/>
        <v>1</v>
      </c>
    </row>
    <row r="158" spans="1:15" x14ac:dyDescent="0.2">
      <c r="A158" s="1">
        <v>45058</v>
      </c>
      <c r="B158">
        <v>5</v>
      </c>
      <c r="C158" t="s">
        <v>13</v>
      </c>
      <c r="D158" s="2">
        <v>0.42222222222222222</v>
      </c>
      <c r="E158">
        <v>13354.62</v>
      </c>
      <c r="F158" s="2">
        <v>0.42430555555555555</v>
      </c>
      <c r="G158">
        <v>13363.97</v>
      </c>
      <c r="H158">
        <v>13363.97</v>
      </c>
      <c r="I158">
        <v>13331.25</v>
      </c>
      <c r="J158" t="s">
        <v>15</v>
      </c>
      <c r="K158">
        <v>-9.35</v>
      </c>
      <c r="L158" s="9">
        <v>-1</v>
      </c>
      <c r="M158">
        <v>0</v>
      </c>
      <c r="N158">
        <f t="shared" si="4"/>
        <v>1</v>
      </c>
      <c r="O158">
        <f t="shared" si="5"/>
        <v>0</v>
      </c>
    </row>
    <row r="159" spans="1:15" x14ac:dyDescent="0.2">
      <c r="A159" s="1">
        <v>45058</v>
      </c>
      <c r="B159">
        <v>5</v>
      </c>
      <c r="C159" t="s">
        <v>13</v>
      </c>
      <c r="D159" s="2">
        <v>0.44236111111111109</v>
      </c>
      <c r="E159">
        <v>13333.33</v>
      </c>
      <c r="F159" s="2">
        <v>0.44374999999999998</v>
      </c>
      <c r="G159">
        <v>13342.66</v>
      </c>
      <c r="H159">
        <v>13342.66</v>
      </c>
      <c r="I159">
        <v>13309.99</v>
      </c>
      <c r="J159" t="s">
        <v>15</v>
      </c>
      <c r="K159">
        <v>-9.33</v>
      </c>
      <c r="L159" s="9">
        <v>-1</v>
      </c>
      <c r="M159">
        <v>0</v>
      </c>
      <c r="N159">
        <f t="shared" si="4"/>
        <v>2</v>
      </c>
      <c r="O159">
        <f t="shared" si="5"/>
        <v>0</v>
      </c>
    </row>
    <row r="160" spans="1:15" x14ac:dyDescent="0.2">
      <c r="A160" s="1">
        <v>45061</v>
      </c>
      <c r="B160">
        <v>1</v>
      </c>
      <c r="C160" t="s">
        <v>13</v>
      </c>
      <c r="D160" s="2">
        <v>0.39652777777777776</v>
      </c>
      <c r="E160">
        <v>13353.14</v>
      </c>
      <c r="F160" s="2">
        <v>0.40625</v>
      </c>
      <c r="G160">
        <v>13362.49</v>
      </c>
      <c r="H160">
        <v>13362.49</v>
      </c>
      <c r="I160">
        <v>13329.77</v>
      </c>
      <c r="J160" t="s">
        <v>15</v>
      </c>
      <c r="K160">
        <v>-9.35</v>
      </c>
      <c r="L160" s="9">
        <v>-1</v>
      </c>
      <c r="M160">
        <v>0</v>
      </c>
      <c r="N160">
        <f t="shared" si="4"/>
        <v>3</v>
      </c>
      <c r="O160">
        <f t="shared" si="5"/>
        <v>0</v>
      </c>
    </row>
    <row r="161" spans="1:15" x14ac:dyDescent="0.2">
      <c r="A161" s="1">
        <v>45061</v>
      </c>
      <c r="B161">
        <v>1</v>
      </c>
      <c r="C161" t="s">
        <v>13</v>
      </c>
      <c r="D161" s="2">
        <v>0.41319444444444442</v>
      </c>
      <c r="E161">
        <v>13331.8</v>
      </c>
      <c r="F161" s="2">
        <v>0.42152777777777778</v>
      </c>
      <c r="G161">
        <v>13308.47</v>
      </c>
      <c r="H161">
        <v>13341.13</v>
      </c>
      <c r="I161">
        <v>13308.47</v>
      </c>
      <c r="J161" t="s">
        <v>14</v>
      </c>
      <c r="K161">
        <v>23.33</v>
      </c>
      <c r="L161" s="9">
        <v>2.5</v>
      </c>
      <c r="M161">
        <v>1</v>
      </c>
      <c r="N161">
        <f t="shared" si="4"/>
        <v>0</v>
      </c>
      <c r="O161">
        <f t="shared" si="5"/>
        <v>1</v>
      </c>
    </row>
    <row r="162" spans="1:15" x14ac:dyDescent="0.2">
      <c r="A162" s="1">
        <v>45061</v>
      </c>
      <c r="B162">
        <v>1</v>
      </c>
      <c r="C162" t="s">
        <v>16</v>
      </c>
      <c r="D162" s="2">
        <v>0.44374999999999998</v>
      </c>
      <c r="E162">
        <v>13333.04</v>
      </c>
      <c r="F162" s="2">
        <v>0.46736111111111112</v>
      </c>
      <c r="G162">
        <v>13356.38</v>
      </c>
      <c r="H162">
        <v>13323.71</v>
      </c>
      <c r="I162">
        <v>13356.38</v>
      </c>
      <c r="J162" t="s">
        <v>14</v>
      </c>
      <c r="K162">
        <v>23.33</v>
      </c>
      <c r="L162" s="9">
        <v>2.5</v>
      </c>
      <c r="M162">
        <v>1</v>
      </c>
      <c r="N162">
        <f t="shared" si="4"/>
        <v>0</v>
      </c>
      <c r="O162">
        <f t="shared" si="5"/>
        <v>2</v>
      </c>
    </row>
    <row r="163" spans="1:15" x14ac:dyDescent="0.2">
      <c r="A163" s="1">
        <v>45062</v>
      </c>
      <c r="B163">
        <v>2</v>
      </c>
      <c r="C163" t="s">
        <v>16</v>
      </c>
      <c r="D163" s="2">
        <v>0.40069444444444446</v>
      </c>
      <c r="E163">
        <v>13411.21</v>
      </c>
      <c r="F163" s="2">
        <v>0.40486111111111112</v>
      </c>
      <c r="G163">
        <v>13434.68</v>
      </c>
      <c r="H163">
        <v>13401.83</v>
      </c>
      <c r="I163">
        <v>13434.68</v>
      </c>
      <c r="J163" t="s">
        <v>14</v>
      </c>
      <c r="K163">
        <v>23.47</v>
      </c>
      <c r="L163" s="9">
        <v>2.5</v>
      </c>
      <c r="M163">
        <v>1</v>
      </c>
      <c r="N163">
        <f t="shared" si="4"/>
        <v>0</v>
      </c>
      <c r="O163">
        <f t="shared" si="5"/>
        <v>3</v>
      </c>
    </row>
    <row r="164" spans="1:15" x14ac:dyDescent="0.2">
      <c r="A164" s="1">
        <v>45062</v>
      </c>
      <c r="B164">
        <v>2</v>
      </c>
      <c r="C164" t="s">
        <v>16</v>
      </c>
      <c r="D164" s="2">
        <v>0.43819444444444444</v>
      </c>
      <c r="E164">
        <v>13444.96</v>
      </c>
      <c r="F164" s="2">
        <v>0.44166666666666665</v>
      </c>
      <c r="G164">
        <v>13435.55</v>
      </c>
      <c r="H164">
        <v>13435.55</v>
      </c>
      <c r="I164">
        <v>13468.49</v>
      </c>
      <c r="J164" t="s">
        <v>15</v>
      </c>
      <c r="K164">
        <v>-9.41</v>
      </c>
      <c r="L164" s="9">
        <v>-1</v>
      </c>
      <c r="M164">
        <v>0</v>
      </c>
      <c r="N164">
        <f t="shared" si="4"/>
        <v>1</v>
      </c>
      <c r="O164">
        <f t="shared" si="5"/>
        <v>0</v>
      </c>
    </row>
    <row r="165" spans="1:15" x14ac:dyDescent="0.2">
      <c r="A165" s="1">
        <v>45062</v>
      </c>
      <c r="B165">
        <v>2</v>
      </c>
      <c r="C165" t="s">
        <v>16</v>
      </c>
      <c r="D165" s="2">
        <v>0.45763888888888887</v>
      </c>
      <c r="E165">
        <v>13464.19</v>
      </c>
      <c r="F165" s="2">
        <v>0.48333333333333334</v>
      </c>
      <c r="G165">
        <v>13454.76</v>
      </c>
      <c r="H165">
        <v>13454.76</v>
      </c>
      <c r="I165">
        <v>13487.75</v>
      </c>
      <c r="J165" t="s">
        <v>15</v>
      </c>
      <c r="K165">
        <v>-9.42</v>
      </c>
      <c r="L165" s="9">
        <v>-1</v>
      </c>
      <c r="M165">
        <v>0</v>
      </c>
      <c r="N165">
        <f t="shared" si="4"/>
        <v>2</v>
      </c>
      <c r="O165">
        <f t="shared" si="5"/>
        <v>0</v>
      </c>
    </row>
    <row r="166" spans="1:15" x14ac:dyDescent="0.2">
      <c r="A166" s="1">
        <v>45063</v>
      </c>
      <c r="B166">
        <v>3</v>
      </c>
      <c r="C166" t="s">
        <v>16</v>
      </c>
      <c r="D166" s="2">
        <v>0.39791666666666664</v>
      </c>
      <c r="E166">
        <v>13468.97</v>
      </c>
      <c r="F166" s="2">
        <v>0.39930555555555558</v>
      </c>
      <c r="G166">
        <v>13459.54</v>
      </c>
      <c r="H166">
        <v>13459.54</v>
      </c>
      <c r="I166">
        <v>13492.54</v>
      </c>
      <c r="J166" t="s">
        <v>15</v>
      </c>
      <c r="K166">
        <v>-9.43</v>
      </c>
      <c r="L166" s="9">
        <v>-1</v>
      </c>
      <c r="M166">
        <v>0</v>
      </c>
      <c r="N166">
        <f t="shared" si="4"/>
        <v>3</v>
      </c>
      <c r="O166">
        <f t="shared" si="5"/>
        <v>0</v>
      </c>
    </row>
    <row r="167" spans="1:15" x14ac:dyDescent="0.2">
      <c r="A167" s="1">
        <v>45063</v>
      </c>
      <c r="B167">
        <v>3</v>
      </c>
      <c r="C167" t="s">
        <v>13</v>
      </c>
      <c r="D167" s="2">
        <v>0.41319444444444442</v>
      </c>
      <c r="E167">
        <v>13433.03</v>
      </c>
      <c r="F167" s="2">
        <v>0.42430555555555555</v>
      </c>
      <c r="G167">
        <v>13442.43</v>
      </c>
      <c r="H167">
        <v>13442.43</v>
      </c>
      <c r="I167">
        <v>13409.52</v>
      </c>
      <c r="J167" t="s">
        <v>15</v>
      </c>
      <c r="K167">
        <v>-9.4</v>
      </c>
      <c r="L167" s="9">
        <v>-1</v>
      </c>
      <c r="M167">
        <v>0</v>
      </c>
      <c r="N167">
        <f t="shared" si="4"/>
        <v>4</v>
      </c>
      <c r="O167">
        <f t="shared" si="5"/>
        <v>0</v>
      </c>
    </row>
    <row r="168" spans="1:15" x14ac:dyDescent="0.2">
      <c r="A168" s="1">
        <v>45063</v>
      </c>
      <c r="B168">
        <v>3</v>
      </c>
      <c r="C168" t="s">
        <v>16</v>
      </c>
      <c r="D168" s="2">
        <v>0.43194444444444446</v>
      </c>
      <c r="E168">
        <v>13454.11</v>
      </c>
      <c r="F168" s="2">
        <v>0.45694444444444443</v>
      </c>
      <c r="G168">
        <v>13477.65</v>
      </c>
      <c r="H168">
        <v>13444.69</v>
      </c>
      <c r="I168">
        <v>13477.65</v>
      </c>
      <c r="J168" t="s">
        <v>14</v>
      </c>
      <c r="K168">
        <v>23.54</v>
      </c>
      <c r="L168" s="9">
        <v>2.5</v>
      </c>
      <c r="M168">
        <v>1</v>
      </c>
      <c r="N168">
        <f t="shared" si="4"/>
        <v>0</v>
      </c>
      <c r="O168">
        <f t="shared" si="5"/>
        <v>1</v>
      </c>
    </row>
    <row r="169" spans="1:15" x14ac:dyDescent="0.2">
      <c r="A169" s="1">
        <v>45064</v>
      </c>
      <c r="B169">
        <v>4</v>
      </c>
      <c r="C169" t="s">
        <v>16</v>
      </c>
      <c r="D169" s="2">
        <v>0.40486111111111112</v>
      </c>
      <c r="E169">
        <v>13639.57</v>
      </c>
      <c r="F169" s="2">
        <v>0.42083333333333334</v>
      </c>
      <c r="G169">
        <v>13663.43</v>
      </c>
      <c r="H169">
        <v>13630.02</v>
      </c>
      <c r="I169">
        <v>13663.43</v>
      </c>
      <c r="J169" t="s">
        <v>14</v>
      </c>
      <c r="K169">
        <v>23.87</v>
      </c>
      <c r="L169" s="9">
        <v>2.5</v>
      </c>
      <c r="M169">
        <v>1</v>
      </c>
      <c r="N169">
        <f t="shared" si="4"/>
        <v>0</v>
      </c>
      <c r="O169">
        <f t="shared" si="5"/>
        <v>2</v>
      </c>
    </row>
    <row r="170" spans="1:15" x14ac:dyDescent="0.2">
      <c r="A170" s="1">
        <v>45065</v>
      </c>
      <c r="B170">
        <v>5</v>
      </c>
      <c r="C170" t="s">
        <v>13</v>
      </c>
      <c r="D170" s="2">
        <v>0.41388888888888886</v>
      </c>
      <c r="E170">
        <v>13830.23</v>
      </c>
      <c r="F170" s="2">
        <v>0.41597222222222224</v>
      </c>
      <c r="G170">
        <v>13839.91</v>
      </c>
      <c r="H170">
        <v>13839.91</v>
      </c>
      <c r="I170">
        <v>13806.02</v>
      </c>
      <c r="J170" t="s">
        <v>15</v>
      </c>
      <c r="K170">
        <v>-9.68</v>
      </c>
      <c r="L170" s="9">
        <v>-1</v>
      </c>
      <c r="M170">
        <v>0</v>
      </c>
      <c r="N170">
        <f t="shared" si="4"/>
        <v>1</v>
      </c>
      <c r="O170">
        <f t="shared" si="5"/>
        <v>0</v>
      </c>
    </row>
    <row r="171" spans="1:15" x14ac:dyDescent="0.2">
      <c r="A171" s="1">
        <v>45065</v>
      </c>
      <c r="B171">
        <v>5</v>
      </c>
      <c r="C171" t="s">
        <v>16</v>
      </c>
      <c r="D171" s="2">
        <v>0.43402777777777779</v>
      </c>
      <c r="E171">
        <v>13852.35</v>
      </c>
      <c r="F171" s="2">
        <v>0.43680555555555556</v>
      </c>
      <c r="G171">
        <v>13842.65</v>
      </c>
      <c r="H171">
        <v>13842.65</v>
      </c>
      <c r="I171">
        <v>13876.59</v>
      </c>
      <c r="J171" t="s">
        <v>15</v>
      </c>
      <c r="K171">
        <v>-9.6999999999999993</v>
      </c>
      <c r="L171" s="9">
        <v>-1</v>
      </c>
      <c r="M171">
        <v>0</v>
      </c>
      <c r="N171">
        <f t="shared" si="4"/>
        <v>2</v>
      </c>
      <c r="O171">
        <f t="shared" si="5"/>
        <v>0</v>
      </c>
    </row>
    <row r="172" spans="1:15" x14ac:dyDescent="0.2">
      <c r="A172" s="1">
        <v>45065</v>
      </c>
      <c r="B172">
        <v>5</v>
      </c>
      <c r="C172" t="s">
        <v>13</v>
      </c>
      <c r="D172" s="2">
        <v>0.44930555555555557</v>
      </c>
      <c r="E172">
        <v>13825.19</v>
      </c>
      <c r="F172" s="2">
        <v>0.46111111111111114</v>
      </c>
      <c r="G172">
        <v>13834.87</v>
      </c>
      <c r="H172">
        <v>13834.87</v>
      </c>
      <c r="I172">
        <v>13801</v>
      </c>
      <c r="J172" t="s">
        <v>15</v>
      </c>
      <c r="K172">
        <v>-9.68</v>
      </c>
      <c r="L172" s="9">
        <v>-1</v>
      </c>
      <c r="M172">
        <v>0</v>
      </c>
      <c r="N172">
        <f t="shared" si="4"/>
        <v>3</v>
      </c>
      <c r="O172">
        <f t="shared" si="5"/>
        <v>0</v>
      </c>
    </row>
    <row r="173" spans="1:15" x14ac:dyDescent="0.2">
      <c r="A173" s="1">
        <v>45068</v>
      </c>
      <c r="B173">
        <v>1</v>
      </c>
      <c r="C173" t="s">
        <v>16</v>
      </c>
      <c r="D173" s="2">
        <v>0.40555555555555556</v>
      </c>
      <c r="E173">
        <v>13855.35</v>
      </c>
      <c r="F173" s="2">
        <v>0.40694444444444444</v>
      </c>
      <c r="G173">
        <v>13845.65</v>
      </c>
      <c r="H173">
        <v>13845.65</v>
      </c>
      <c r="I173">
        <v>13879.6</v>
      </c>
      <c r="J173" t="s">
        <v>15</v>
      </c>
      <c r="K173">
        <v>-9.6999999999999993</v>
      </c>
      <c r="L173" s="9">
        <v>-1</v>
      </c>
      <c r="M173">
        <v>0</v>
      </c>
      <c r="N173">
        <f t="shared" si="4"/>
        <v>4</v>
      </c>
      <c r="O173">
        <f t="shared" si="5"/>
        <v>0</v>
      </c>
    </row>
    <row r="174" spans="1:15" x14ac:dyDescent="0.2">
      <c r="A174" s="1">
        <v>45068</v>
      </c>
      <c r="B174">
        <v>1</v>
      </c>
      <c r="C174" t="s">
        <v>13</v>
      </c>
      <c r="D174" s="2">
        <v>0.44930555555555557</v>
      </c>
      <c r="E174">
        <v>13840.37</v>
      </c>
      <c r="F174" s="2">
        <v>0.45694444444444443</v>
      </c>
      <c r="G174">
        <v>13850.06</v>
      </c>
      <c r="H174">
        <v>13850.06</v>
      </c>
      <c r="I174">
        <v>13816.15</v>
      </c>
      <c r="J174" t="s">
        <v>15</v>
      </c>
      <c r="K174">
        <v>-9.69</v>
      </c>
      <c r="L174" s="9">
        <v>-1</v>
      </c>
      <c r="M174">
        <v>0</v>
      </c>
      <c r="N174">
        <f t="shared" si="4"/>
        <v>5</v>
      </c>
      <c r="O174">
        <f t="shared" si="5"/>
        <v>0</v>
      </c>
    </row>
    <row r="175" spans="1:15" x14ac:dyDescent="0.2">
      <c r="A175" s="1">
        <v>45070</v>
      </c>
      <c r="B175">
        <v>3</v>
      </c>
      <c r="C175" t="s">
        <v>13</v>
      </c>
      <c r="D175" s="2">
        <v>0.4236111111111111</v>
      </c>
      <c r="E175">
        <v>13562.9</v>
      </c>
      <c r="F175" s="2">
        <v>0.42777777777777776</v>
      </c>
      <c r="G175">
        <v>13572.39</v>
      </c>
      <c r="H175">
        <v>13572.39</v>
      </c>
      <c r="I175">
        <v>13539.17</v>
      </c>
      <c r="J175" t="s">
        <v>15</v>
      </c>
      <c r="K175">
        <v>-9.49</v>
      </c>
      <c r="L175" s="9">
        <v>-1</v>
      </c>
      <c r="M175">
        <v>0</v>
      </c>
      <c r="N175">
        <f t="shared" si="4"/>
        <v>6</v>
      </c>
      <c r="O175">
        <f t="shared" si="5"/>
        <v>0</v>
      </c>
    </row>
    <row r="176" spans="1:15" x14ac:dyDescent="0.2">
      <c r="A176" s="1">
        <v>45070</v>
      </c>
      <c r="B176">
        <v>3</v>
      </c>
      <c r="C176" t="s">
        <v>13</v>
      </c>
      <c r="D176" s="2">
        <v>0.43680555555555556</v>
      </c>
      <c r="E176">
        <v>13549.06</v>
      </c>
      <c r="F176" s="2">
        <v>0.44097222222222221</v>
      </c>
      <c r="G176">
        <v>13558.54</v>
      </c>
      <c r="H176">
        <v>13558.54</v>
      </c>
      <c r="I176">
        <v>13525.35</v>
      </c>
      <c r="J176" t="s">
        <v>15</v>
      </c>
      <c r="K176">
        <v>-9.48</v>
      </c>
      <c r="L176" s="9">
        <v>-1</v>
      </c>
      <c r="M176">
        <v>0</v>
      </c>
      <c r="N176">
        <f t="shared" si="4"/>
        <v>7</v>
      </c>
      <c r="O176">
        <f t="shared" si="5"/>
        <v>0</v>
      </c>
    </row>
    <row r="177" spans="1:15" x14ac:dyDescent="0.2">
      <c r="A177" s="1">
        <v>45071</v>
      </c>
      <c r="B177">
        <v>4</v>
      </c>
      <c r="C177" t="s">
        <v>13</v>
      </c>
      <c r="D177" s="2">
        <v>0.40277777777777779</v>
      </c>
      <c r="E177">
        <v>13831.71</v>
      </c>
      <c r="F177" s="2">
        <v>0.40347222222222223</v>
      </c>
      <c r="G177">
        <v>13841.39</v>
      </c>
      <c r="H177">
        <v>13841.39</v>
      </c>
      <c r="I177">
        <v>13807.51</v>
      </c>
      <c r="J177" t="s">
        <v>15</v>
      </c>
      <c r="K177">
        <v>-9.68</v>
      </c>
      <c r="L177" s="9">
        <v>-1</v>
      </c>
      <c r="M177">
        <v>0</v>
      </c>
      <c r="N177">
        <f t="shared" si="4"/>
        <v>8</v>
      </c>
      <c r="O177">
        <f t="shared" si="5"/>
        <v>0</v>
      </c>
    </row>
    <row r="178" spans="1:15" x14ac:dyDescent="0.2">
      <c r="A178" s="1">
        <v>45071</v>
      </c>
      <c r="B178">
        <v>4</v>
      </c>
      <c r="C178" t="s">
        <v>16</v>
      </c>
      <c r="D178" s="2">
        <v>0.4465277777777778</v>
      </c>
      <c r="E178">
        <v>13868.25</v>
      </c>
      <c r="F178" s="2">
        <v>0.44930555555555557</v>
      </c>
      <c r="G178">
        <v>13892.52</v>
      </c>
      <c r="H178">
        <v>13858.54</v>
      </c>
      <c r="I178">
        <v>13892.52</v>
      </c>
      <c r="J178" t="s">
        <v>14</v>
      </c>
      <c r="K178">
        <v>24.27</v>
      </c>
      <c r="L178" s="9">
        <v>2.5</v>
      </c>
      <c r="M178">
        <v>1</v>
      </c>
      <c r="N178">
        <f t="shared" si="4"/>
        <v>0</v>
      </c>
      <c r="O178">
        <f t="shared" si="5"/>
        <v>1</v>
      </c>
    </row>
    <row r="179" spans="1:15" x14ac:dyDescent="0.2">
      <c r="A179" s="1">
        <v>45072</v>
      </c>
      <c r="B179">
        <v>5</v>
      </c>
      <c r="C179" t="s">
        <v>16</v>
      </c>
      <c r="D179" s="2">
        <v>0.40694444444444444</v>
      </c>
      <c r="E179">
        <v>14039.73</v>
      </c>
      <c r="F179" s="2">
        <v>0.40972222222222221</v>
      </c>
      <c r="G179">
        <v>14064.3</v>
      </c>
      <c r="H179">
        <v>14029.9</v>
      </c>
      <c r="I179">
        <v>14064.3</v>
      </c>
      <c r="J179" t="s">
        <v>14</v>
      </c>
      <c r="K179">
        <v>24.57</v>
      </c>
      <c r="L179" s="9">
        <v>2.5</v>
      </c>
      <c r="M179">
        <v>1</v>
      </c>
      <c r="N179">
        <f t="shared" si="4"/>
        <v>0</v>
      </c>
      <c r="O179">
        <f t="shared" si="5"/>
        <v>2</v>
      </c>
    </row>
    <row r="180" spans="1:15" x14ac:dyDescent="0.2">
      <c r="A180" s="1">
        <v>45075</v>
      </c>
      <c r="B180">
        <v>1</v>
      </c>
      <c r="C180" t="s">
        <v>13</v>
      </c>
      <c r="D180" s="2">
        <v>0.4</v>
      </c>
      <c r="E180">
        <v>14331.76</v>
      </c>
      <c r="F180" s="2">
        <v>0.43472222222222223</v>
      </c>
      <c r="G180">
        <v>14341.8</v>
      </c>
      <c r="H180">
        <v>14341.8</v>
      </c>
      <c r="I180">
        <v>14306.68</v>
      </c>
      <c r="J180" t="s">
        <v>15</v>
      </c>
      <c r="K180">
        <v>-10.029999999999999</v>
      </c>
      <c r="L180" s="9">
        <v>-1</v>
      </c>
      <c r="M180">
        <v>0</v>
      </c>
      <c r="N180">
        <f t="shared" si="4"/>
        <v>1</v>
      </c>
      <c r="O180">
        <f t="shared" si="5"/>
        <v>0</v>
      </c>
    </row>
    <row r="181" spans="1:15" x14ac:dyDescent="0.2">
      <c r="A181" s="1">
        <v>45075</v>
      </c>
      <c r="B181">
        <v>1</v>
      </c>
      <c r="C181" t="s">
        <v>16</v>
      </c>
      <c r="D181" s="2">
        <v>0.43819444444444444</v>
      </c>
      <c r="E181">
        <v>14342.33</v>
      </c>
      <c r="F181" s="2">
        <v>0.54097222222222219</v>
      </c>
      <c r="G181">
        <v>14367.43</v>
      </c>
      <c r="H181">
        <v>14332.29</v>
      </c>
      <c r="I181">
        <v>14367.43</v>
      </c>
      <c r="J181" t="s">
        <v>14</v>
      </c>
      <c r="K181">
        <v>25.1</v>
      </c>
      <c r="L181" s="9">
        <v>2.5</v>
      </c>
      <c r="M181">
        <v>1</v>
      </c>
      <c r="N181">
        <f t="shared" si="4"/>
        <v>0</v>
      </c>
      <c r="O181">
        <f t="shared" si="5"/>
        <v>1</v>
      </c>
    </row>
    <row r="182" spans="1:15" x14ac:dyDescent="0.2">
      <c r="A182" s="1">
        <v>45077</v>
      </c>
      <c r="B182">
        <v>3</v>
      </c>
      <c r="C182" t="s">
        <v>16</v>
      </c>
      <c r="D182" s="2">
        <v>0.40416666666666667</v>
      </c>
      <c r="E182">
        <v>14333.6</v>
      </c>
      <c r="F182" s="2">
        <v>0.40625</v>
      </c>
      <c r="G182">
        <v>14358.69</v>
      </c>
      <c r="H182">
        <v>14323.57</v>
      </c>
      <c r="I182">
        <v>14358.69</v>
      </c>
      <c r="J182" t="s">
        <v>14</v>
      </c>
      <c r="K182">
        <v>25.08</v>
      </c>
      <c r="L182" s="9">
        <v>2.5</v>
      </c>
      <c r="M182">
        <v>1</v>
      </c>
      <c r="N182">
        <f t="shared" si="4"/>
        <v>0</v>
      </c>
      <c r="O182">
        <f t="shared" si="5"/>
        <v>2</v>
      </c>
    </row>
    <row r="183" spans="1:15" x14ac:dyDescent="0.2">
      <c r="A183" s="1">
        <v>45077</v>
      </c>
      <c r="B183">
        <v>3</v>
      </c>
      <c r="C183" t="s">
        <v>13</v>
      </c>
      <c r="D183" s="2">
        <v>0.42777777777777776</v>
      </c>
      <c r="E183">
        <v>14294.41</v>
      </c>
      <c r="F183" s="2">
        <v>0.42916666666666664</v>
      </c>
      <c r="G183">
        <v>14269.39</v>
      </c>
      <c r="H183">
        <v>14304.41</v>
      </c>
      <c r="I183">
        <v>14269.39</v>
      </c>
      <c r="J183" t="s">
        <v>14</v>
      </c>
      <c r="K183">
        <v>25.02</v>
      </c>
      <c r="L183" s="9">
        <v>2.5</v>
      </c>
      <c r="M183">
        <v>1</v>
      </c>
      <c r="N183">
        <f t="shared" si="4"/>
        <v>0</v>
      </c>
      <c r="O183">
        <f t="shared" si="5"/>
        <v>3</v>
      </c>
    </row>
    <row r="184" spans="1:15" x14ac:dyDescent="0.2">
      <c r="A184" s="1">
        <v>45077</v>
      </c>
      <c r="B184">
        <v>3</v>
      </c>
      <c r="C184" t="s">
        <v>16</v>
      </c>
      <c r="D184" s="2">
        <v>0.45694444444444443</v>
      </c>
      <c r="E184">
        <v>14282.91</v>
      </c>
      <c r="F184" s="2">
        <v>0.45763888888888887</v>
      </c>
      <c r="G184">
        <v>14272.91</v>
      </c>
      <c r="H184">
        <v>14272.91</v>
      </c>
      <c r="I184">
        <v>14307.9</v>
      </c>
      <c r="J184" t="s">
        <v>15</v>
      </c>
      <c r="K184">
        <v>-10</v>
      </c>
      <c r="L184" s="9">
        <v>-1</v>
      </c>
      <c r="M184">
        <v>0</v>
      </c>
      <c r="N184">
        <f t="shared" si="4"/>
        <v>1</v>
      </c>
      <c r="O184">
        <f t="shared" si="5"/>
        <v>0</v>
      </c>
    </row>
    <row r="185" spans="1:15" x14ac:dyDescent="0.2">
      <c r="A185" s="1">
        <v>45079</v>
      </c>
      <c r="B185">
        <v>5</v>
      </c>
      <c r="C185" t="s">
        <v>16</v>
      </c>
      <c r="D185" s="2">
        <v>0.39583333333333331</v>
      </c>
      <c r="E185">
        <v>14515.17</v>
      </c>
      <c r="F185" s="2">
        <v>0.39652777777777776</v>
      </c>
      <c r="G185">
        <v>14540.57</v>
      </c>
      <c r="H185">
        <v>14505.01</v>
      </c>
      <c r="I185">
        <v>14540.57</v>
      </c>
      <c r="J185" t="s">
        <v>14</v>
      </c>
      <c r="K185">
        <v>25.4</v>
      </c>
      <c r="L185" s="9">
        <v>2.5</v>
      </c>
      <c r="M185">
        <v>1</v>
      </c>
      <c r="N185">
        <f t="shared" si="4"/>
        <v>0</v>
      </c>
      <c r="O185">
        <f t="shared" si="5"/>
        <v>1</v>
      </c>
    </row>
    <row r="186" spans="1:15" x14ac:dyDescent="0.2">
      <c r="A186" s="1">
        <v>45079</v>
      </c>
      <c r="B186">
        <v>5</v>
      </c>
      <c r="C186" t="s">
        <v>13</v>
      </c>
      <c r="D186" s="2">
        <v>0.41875000000000001</v>
      </c>
      <c r="E186">
        <v>14457.36</v>
      </c>
      <c r="F186" s="2">
        <v>0.41944444444444445</v>
      </c>
      <c r="G186">
        <v>14467.48</v>
      </c>
      <c r="H186">
        <v>14467.48</v>
      </c>
      <c r="I186">
        <v>14432.06</v>
      </c>
      <c r="J186" t="s">
        <v>15</v>
      </c>
      <c r="K186">
        <v>-10.119999999999999</v>
      </c>
      <c r="L186" s="9">
        <v>-1</v>
      </c>
      <c r="M186">
        <v>0</v>
      </c>
      <c r="N186">
        <f t="shared" si="4"/>
        <v>1</v>
      </c>
      <c r="O186">
        <f t="shared" si="5"/>
        <v>0</v>
      </c>
    </row>
    <row r="187" spans="1:15" x14ac:dyDescent="0.2">
      <c r="A187" s="1">
        <v>45079</v>
      </c>
      <c r="B187">
        <v>5</v>
      </c>
      <c r="C187" t="s">
        <v>16</v>
      </c>
      <c r="D187" s="2">
        <v>0.44444444444444442</v>
      </c>
      <c r="E187">
        <v>14502.98</v>
      </c>
      <c r="F187" s="2">
        <v>0.4465277777777778</v>
      </c>
      <c r="G187">
        <v>14528.36</v>
      </c>
      <c r="H187">
        <v>14492.82</v>
      </c>
      <c r="I187">
        <v>14528.36</v>
      </c>
      <c r="J187" t="s">
        <v>14</v>
      </c>
      <c r="K187">
        <v>25.38</v>
      </c>
      <c r="L187" s="9">
        <v>2.5</v>
      </c>
      <c r="M187">
        <v>1</v>
      </c>
      <c r="N187">
        <f t="shared" si="4"/>
        <v>0</v>
      </c>
      <c r="O187">
        <f t="shared" si="5"/>
        <v>1</v>
      </c>
    </row>
    <row r="188" spans="1:15" x14ac:dyDescent="0.2">
      <c r="A188" s="1">
        <v>45082</v>
      </c>
      <c r="B188">
        <v>1</v>
      </c>
      <c r="C188" t="s">
        <v>16</v>
      </c>
      <c r="D188" s="2">
        <v>0.40069444444444446</v>
      </c>
      <c r="E188">
        <v>14573.49</v>
      </c>
      <c r="F188" s="2">
        <v>0.40416666666666667</v>
      </c>
      <c r="G188">
        <v>14599</v>
      </c>
      <c r="H188">
        <v>14563.29</v>
      </c>
      <c r="I188">
        <v>14599</v>
      </c>
      <c r="J188" t="s">
        <v>14</v>
      </c>
      <c r="K188">
        <v>25.5</v>
      </c>
      <c r="L188" s="9">
        <v>2.5</v>
      </c>
      <c r="M188">
        <v>1</v>
      </c>
      <c r="N188">
        <f t="shared" si="4"/>
        <v>0</v>
      </c>
      <c r="O188">
        <f t="shared" si="5"/>
        <v>2</v>
      </c>
    </row>
    <row r="189" spans="1:15" x14ac:dyDescent="0.2">
      <c r="A189" s="1">
        <v>45082</v>
      </c>
      <c r="B189">
        <v>1</v>
      </c>
      <c r="C189" t="s">
        <v>16</v>
      </c>
      <c r="D189" s="2">
        <v>0.45069444444444445</v>
      </c>
      <c r="E189">
        <v>14610.84</v>
      </c>
      <c r="F189" s="2">
        <v>0.45555555555555555</v>
      </c>
      <c r="G189">
        <v>14636.41</v>
      </c>
      <c r="H189">
        <v>14600.61</v>
      </c>
      <c r="I189">
        <v>14636.41</v>
      </c>
      <c r="J189" t="s">
        <v>14</v>
      </c>
      <c r="K189">
        <v>25.57</v>
      </c>
      <c r="L189" s="9">
        <v>2.5</v>
      </c>
      <c r="M189">
        <v>1</v>
      </c>
      <c r="N189">
        <f t="shared" si="4"/>
        <v>0</v>
      </c>
      <c r="O189">
        <f t="shared" si="5"/>
        <v>3</v>
      </c>
    </row>
    <row r="190" spans="1:15" x14ac:dyDescent="0.2">
      <c r="A190" s="1">
        <v>45083</v>
      </c>
      <c r="B190">
        <v>2</v>
      </c>
      <c r="C190" t="s">
        <v>13</v>
      </c>
      <c r="D190" s="2">
        <v>0.39930555555555558</v>
      </c>
      <c r="E190">
        <v>14497.53</v>
      </c>
      <c r="F190" s="2">
        <v>0.40347222222222223</v>
      </c>
      <c r="G190">
        <v>14507.68</v>
      </c>
      <c r="H190">
        <v>14507.68</v>
      </c>
      <c r="I190">
        <v>14472.16</v>
      </c>
      <c r="J190" t="s">
        <v>15</v>
      </c>
      <c r="K190">
        <v>-10.15</v>
      </c>
      <c r="L190" s="9">
        <v>-1</v>
      </c>
      <c r="M190">
        <v>0</v>
      </c>
      <c r="N190">
        <f t="shared" si="4"/>
        <v>1</v>
      </c>
      <c r="O190">
        <f t="shared" si="5"/>
        <v>0</v>
      </c>
    </row>
    <row r="191" spans="1:15" x14ac:dyDescent="0.2">
      <c r="A191" s="1">
        <v>45083</v>
      </c>
      <c r="B191">
        <v>2</v>
      </c>
      <c r="C191" t="s">
        <v>16</v>
      </c>
      <c r="D191" s="2">
        <v>0.43263888888888891</v>
      </c>
      <c r="E191">
        <v>14535.72</v>
      </c>
      <c r="F191" s="2">
        <v>0.44791666666666669</v>
      </c>
      <c r="G191">
        <v>14561.16</v>
      </c>
      <c r="H191">
        <v>14525.54</v>
      </c>
      <c r="I191">
        <v>14561.16</v>
      </c>
      <c r="J191" t="s">
        <v>14</v>
      </c>
      <c r="K191">
        <v>25.44</v>
      </c>
      <c r="L191" s="9">
        <v>2.5</v>
      </c>
      <c r="M191">
        <v>1</v>
      </c>
      <c r="N191">
        <f t="shared" si="4"/>
        <v>0</v>
      </c>
      <c r="O191">
        <f t="shared" si="5"/>
        <v>1</v>
      </c>
    </row>
    <row r="192" spans="1:15" x14ac:dyDescent="0.2">
      <c r="A192" s="1">
        <v>45084</v>
      </c>
      <c r="B192">
        <v>3</v>
      </c>
      <c r="C192" t="s">
        <v>16</v>
      </c>
      <c r="D192" s="2">
        <v>0.40138888888888891</v>
      </c>
      <c r="E192">
        <v>14630.06</v>
      </c>
      <c r="F192" s="2">
        <v>0.40208333333333335</v>
      </c>
      <c r="G192">
        <v>14619.82</v>
      </c>
      <c r="H192">
        <v>14619.82</v>
      </c>
      <c r="I192">
        <v>14655.67</v>
      </c>
      <c r="J192" t="s">
        <v>15</v>
      </c>
      <c r="K192">
        <v>-10.24</v>
      </c>
      <c r="L192" s="9">
        <v>-1</v>
      </c>
      <c r="M192">
        <v>0</v>
      </c>
      <c r="N192">
        <f t="shared" si="4"/>
        <v>1</v>
      </c>
      <c r="O192">
        <f t="shared" si="5"/>
        <v>0</v>
      </c>
    </row>
    <row r="193" spans="1:15" x14ac:dyDescent="0.2">
      <c r="A193" s="1">
        <v>45084</v>
      </c>
      <c r="B193">
        <v>3</v>
      </c>
      <c r="C193" t="s">
        <v>13</v>
      </c>
      <c r="D193" s="2">
        <v>0.42083333333333334</v>
      </c>
      <c r="E193">
        <v>14587.09</v>
      </c>
      <c r="F193" s="2">
        <v>0.4236111111111111</v>
      </c>
      <c r="G193">
        <v>14597.3</v>
      </c>
      <c r="H193">
        <v>14597.3</v>
      </c>
      <c r="I193">
        <v>14561.56</v>
      </c>
      <c r="J193" t="s">
        <v>15</v>
      </c>
      <c r="K193">
        <v>-10.210000000000001</v>
      </c>
      <c r="L193" s="9">
        <v>-1</v>
      </c>
      <c r="M193">
        <v>0</v>
      </c>
      <c r="N193">
        <f t="shared" si="4"/>
        <v>2</v>
      </c>
      <c r="O193">
        <f t="shared" si="5"/>
        <v>0</v>
      </c>
    </row>
    <row r="194" spans="1:15" x14ac:dyDescent="0.2">
      <c r="A194" s="1">
        <v>45085</v>
      </c>
      <c r="B194">
        <v>4</v>
      </c>
      <c r="C194" t="s">
        <v>16</v>
      </c>
      <c r="D194" s="2">
        <v>0.40555555555555556</v>
      </c>
      <c r="E194">
        <v>14358.06</v>
      </c>
      <c r="F194" s="2">
        <v>0.40625</v>
      </c>
      <c r="G194">
        <v>14348.01</v>
      </c>
      <c r="H194">
        <v>14348.01</v>
      </c>
      <c r="I194">
        <v>14383.19</v>
      </c>
      <c r="J194" t="s">
        <v>15</v>
      </c>
      <c r="K194">
        <v>-10.050000000000001</v>
      </c>
      <c r="L194" s="9">
        <v>-1</v>
      </c>
      <c r="M194">
        <v>0</v>
      </c>
      <c r="N194">
        <f t="shared" ref="N194:N257" si="6">IF(M194=0, IF(M193=0, N193+1, 1), 0)</f>
        <v>3</v>
      </c>
      <c r="O194">
        <f t="shared" ref="O194:O257" si="7">IF(M194=1, IF(M193=1, O193+1, 1), 0)</f>
        <v>0</v>
      </c>
    </row>
    <row r="195" spans="1:15" x14ac:dyDescent="0.2">
      <c r="A195" s="1">
        <v>45085</v>
      </c>
      <c r="B195">
        <v>4</v>
      </c>
      <c r="C195" t="s">
        <v>16</v>
      </c>
      <c r="D195" s="2">
        <v>0.42152777777777778</v>
      </c>
      <c r="E195">
        <v>14368.14</v>
      </c>
      <c r="F195" s="2">
        <v>0.42708333333333331</v>
      </c>
      <c r="G195">
        <v>14393.28</v>
      </c>
      <c r="H195">
        <v>14358.08</v>
      </c>
      <c r="I195">
        <v>14393.28</v>
      </c>
      <c r="J195" t="s">
        <v>14</v>
      </c>
      <c r="K195">
        <v>25.14</v>
      </c>
      <c r="L195" s="9">
        <v>2.5</v>
      </c>
      <c r="M195">
        <v>1</v>
      </c>
      <c r="N195">
        <f t="shared" si="6"/>
        <v>0</v>
      </c>
      <c r="O195">
        <f t="shared" si="7"/>
        <v>1</v>
      </c>
    </row>
    <row r="196" spans="1:15" x14ac:dyDescent="0.2">
      <c r="A196" s="1">
        <v>45086</v>
      </c>
      <c r="B196">
        <v>5</v>
      </c>
      <c r="C196" t="s">
        <v>16</v>
      </c>
      <c r="D196" s="2">
        <v>0.4</v>
      </c>
      <c r="E196">
        <v>14563.36</v>
      </c>
      <c r="F196" s="2">
        <v>0.40347222222222223</v>
      </c>
      <c r="G196">
        <v>14588.85</v>
      </c>
      <c r="H196">
        <v>14553.17</v>
      </c>
      <c r="I196">
        <v>14588.85</v>
      </c>
      <c r="J196" t="s">
        <v>14</v>
      </c>
      <c r="K196">
        <v>25.49</v>
      </c>
      <c r="L196" s="9">
        <v>2.5</v>
      </c>
      <c r="M196">
        <v>1</v>
      </c>
      <c r="N196">
        <f t="shared" si="6"/>
        <v>0</v>
      </c>
      <c r="O196">
        <f t="shared" si="7"/>
        <v>2</v>
      </c>
    </row>
    <row r="197" spans="1:15" x14ac:dyDescent="0.2">
      <c r="A197" s="1">
        <v>45086</v>
      </c>
      <c r="B197">
        <v>5</v>
      </c>
      <c r="C197" t="s">
        <v>13</v>
      </c>
      <c r="D197" s="2">
        <v>0.44930555555555557</v>
      </c>
      <c r="E197">
        <v>14596.94</v>
      </c>
      <c r="F197" s="2">
        <v>0.45069444444444445</v>
      </c>
      <c r="G197">
        <v>14571.4</v>
      </c>
      <c r="H197">
        <v>14607.16</v>
      </c>
      <c r="I197">
        <v>14571.4</v>
      </c>
      <c r="J197" t="s">
        <v>14</v>
      </c>
      <c r="K197">
        <v>25.54</v>
      </c>
      <c r="L197" s="9">
        <v>2.5</v>
      </c>
      <c r="M197">
        <v>1</v>
      </c>
      <c r="N197">
        <f t="shared" si="6"/>
        <v>0</v>
      </c>
      <c r="O197">
        <f t="shared" si="7"/>
        <v>3</v>
      </c>
    </row>
    <row r="198" spans="1:15" x14ac:dyDescent="0.2">
      <c r="A198" s="1">
        <v>45089</v>
      </c>
      <c r="B198">
        <v>1</v>
      </c>
      <c r="C198" t="s">
        <v>16</v>
      </c>
      <c r="D198" s="2">
        <v>0.45</v>
      </c>
      <c r="E198">
        <v>14623</v>
      </c>
      <c r="F198" s="2">
        <v>0.45416666666666666</v>
      </c>
      <c r="G198">
        <v>14612.77</v>
      </c>
      <c r="H198">
        <v>14612.77</v>
      </c>
      <c r="I198">
        <v>14648.59</v>
      </c>
      <c r="J198" t="s">
        <v>15</v>
      </c>
      <c r="K198">
        <v>-10.24</v>
      </c>
      <c r="L198" s="9">
        <v>-1</v>
      </c>
      <c r="M198">
        <v>0</v>
      </c>
      <c r="N198">
        <f t="shared" si="6"/>
        <v>1</v>
      </c>
      <c r="O198">
        <f t="shared" si="7"/>
        <v>0</v>
      </c>
    </row>
    <row r="199" spans="1:15" x14ac:dyDescent="0.2">
      <c r="A199" s="1">
        <v>45090</v>
      </c>
      <c r="B199">
        <v>2</v>
      </c>
      <c r="C199" t="s">
        <v>13</v>
      </c>
      <c r="D199" s="2">
        <v>0.39652777777777776</v>
      </c>
      <c r="E199">
        <v>14896.85</v>
      </c>
      <c r="F199" s="2">
        <v>0.39791666666666664</v>
      </c>
      <c r="G199">
        <v>14907.28</v>
      </c>
      <c r="H199">
        <v>14907.28</v>
      </c>
      <c r="I199">
        <v>14870.78</v>
      </c>
      <c r="J199" t="s">
        <v>15</v>
      </c>
      <c r="K199">
        <v>-10.43</v>
      </c>
      <c r="L199" s="9">
        <v>-1</v>
      </c>
      <c r="M199">
        <v>0</v>
      </c>
      <c r="N199">
        <f t="shared" si="6"/>
        <v>2</v>
      </c>
      <c r="O199">
        <f t="shared" si="7"/>
        <v>0</v>
      </c>
    </row>
    <row r="200" spans="1:15" x14ac:dyDescent="0.2">
      <c r="A200" s="1">
        <v>45090</v>
      </c>
      <c r="B200">
        <v>2</v>
      </c>
      <c r="C200" t="s">
        <v>16</v>
      </c>
      <c r="D200" s="2">
        <v>0.45624999999999999</v>
      </c>
      <c r="E200">
        <v>14855.32</v>
      </c>
      <c r="F200" s="2">
        <v>0.4597222222222222</v>
      </c>
      <c r="G200">
        <v>14844.92</v>
      </c>
      <c r="H200">
        <v>14844.92</v>
      </c>
      <c r="I200">
        <v>14881.32</v>
      </c>
      <c r="J200" t="s">
        <v>15</v>
      </c>
      <c r="K200">
        <v>-10.4</v>
      </c>
      <c r="L200" s="9">
        <v>-1</v>
      </c>
      <c r="M200">
        <v>0</v>
      </c>
      <c r="N200">
        <f t="shared" si="6"/>
        <v>3</v>
      </c>
      <c r="O200">
        <f t="shared" si="7"/>
        <v>0</v>
      </c>
    </row>
    <row r="201" spans="1:15" x14ac:dyDescent="0.2">
      <c r="A201" s="1">
        <v>45092</v>
      </c>
      <c r="B201">
        <v>4</v>
      </c>
      <c r="C201" t="s">
        <v>16</v>
      </c>
      <c r="D201" s="2">
        <v>0.40902777777777777</v>
      </c>
      <c r="E201">
        <v>14989.07</v>
      </c>
      <c r="F201" s="2">
        <v>0.40972222222222221</v>
      </c>
      <c r="G201">
        <v>15015.3</v>
      </c>
      <c r="H201">
        <v>14978.58</v>
      </c>
      <c r="I201">
        <v>15015.3</v>
      </c>
      <c r="J201" t="s">
        <v>14</v>
      </c>
      <c r="K201">
        <v>26.23</v>
      </c>
      <c r="L201" s="9">
        <v>2.5</v>
      </c>
      <c r="M201">
        <v>1</v>
      </c>
      <c r="N201">
        <f t="shared" si="6"/>
        <v>0</v>
      </c>
      <c r="O201">
        <f t="shared" si="7"/>
        <v>1</v>
      </c>
    </row>
    <row r="202" spans="1:15" x14ac:dyDescent="0.2">
      <c r="A202" s="1">
        <v>45092</v>
      </c>
      <c r="B202">
        <v>4</v>
      </c>
      <c r="C202" t="s">
        <v>16</v>
      </c>
      <c r="D202" s="2">
        <v>0.4513888888888889</v>
      </c>
      <c r="E202">
        <v>15065.74</v>
      </c>
      <c r="F202" s="2">
        <v>0.45277777777777778</v>
      </c>
      <c r="G202">
        <v>15055.19</v>
      </c>
      <c r="H202">
        <v>15055.19</v>
      </c>
      <c r="I202">
        <v>15092.1</v>
      </c>
      <c r="J202" t="s">
        <v>15</v>
      </c>
      <c r="K202">
        <v>-10.55</v>
      </c>
      <c r="L202" s="9">
        <v>-1</v>
      </c>
      <c r="M202">
        <v>0</v>
      </c>
      <c r="N202">
        <f t="shared" si="6"/>
        <v>1</v>
      </c>
      <c r="O202">
        <f t="shared" si="7"/>
        <v>0</v>
      </c>
    </row>
    <row r="203" spans="1:15" x14ac:dyDescent="0.2">
      <c r="A203" s="1">
        <v>45093</v>
      </c>
      <c r="B203">
        <v>5</v>
      </c>
      <c r="C203" t="s">
        <v>13</v>
      </c>
      <c r="D203" s="2">
        <v>0.40416666666666667</v>
      </c>
      <c r="E203">
        <v>15192.81</v>
      </c>
      <c r="F203" s="2">
        <v>0.40486111111111112</v>
      </c>
      <c r="G203">
        <v>15166.22</v>
      </c>
      <c r="H203">
        <v>15203.44</v>
      </c>
      <c r="I203">
        <v>15166.22</v>
      </c>
      <c r="J203" t="s">
        <v>14</v>
      </c>
      <c r="K203">
        <v>26.59</v>
      </c>
      <c r="L203" s="9">
        <v>2.5</v>
      </c>
      <c r="M203">
        <v>1</v>
      </c>
      <c r="N203">
        <f t="shared" si="6"/>
        <v>0</v>
      </c>
      <c r="O203">
        <f t="shared" si="7"/>
        <v>1</v>
      </c>
    </row>
    <row r="204" spans="1:15" x14ac:dyDescent="0.2">
      <c r="A204" s="1">
        <v>45093</v>
      </c>
      <c r="B204">
        <v>5</v>
      </c>
      <c r="C204" t="s">
        <v>16</v>
      </c>
      <c r="D204" s="2">
        <v>0.43888888888888888</v>
      </c>
      <c r="E204">
        <v>15212.06</v>
      </c>
      <c r="F204" s="2">
        <v>0.44444444444444442</v>
      </c>
      <c r="G204">
        <v>15201.41</v>
      </c>
      <c r="H204">
        <v>15201.41</v>
      </c>
      <c r="I204">
        <v>15238.68</v>
      </c>
      <c r="J204" t="s">
        <v>15</v>
      </c>
      <c r="K204">
        <v>-10.65</v>
      </c>
      <c r="L204" s="9">
        <v>-1</v>
      </c>
      <c r="M204">
        <v>0</v>
      </c>
      <c r="N204">
        <f t="shared" si="6"/>
        <v>1</v>
      </c>
      <c r="O204">
        <f t="shared" si="7"/>
        <v>0</v>
      </c>
    </row>
    <row r="205" spans="1:15" x14ac:dyDescent="0.2">
      <c r="A205" s="1">
        <v>45096</v>
      </c>
      <c r="B205">
        <v>1</v>
      </c>
      <c r="C205" t="s">
        <v>13</v>
      </c>
      <c r="D205" s="2">
        <v>0.40138888888888891</v>
      </c>
      <c r="E205">
        <v>15057.53</v>
      </c>
      <c r="F205" s="2">
        <v>0.59513888888888888</v>
      </c>
      <c r="G205">
        <v>15068.07</v>
      </c>
      <c r="H205">
        <v>15068.07</v>
      </c>
      <c r="I205">
        <v>15031.18</v>
      </c>
      <c r="J205" t="s">
        <v>15</v>
      </c>
      <c r="K205">
        <v>-10.54</v>
      </c>
      <c r="L205" s="9">
        <v>-1</v>
      </c>
      <c r="M205">
        <v>0</v>
      </c>
      <c r="N205">
        <f t="shared" si="6"/>
        <v>2</v>
      </c>
      <c r="O205">
        <f t="shared" si="7"/>
        <v>0</v>
      </c>
    </row>
    <row r="206" spans="1:15" x14ac:dyDescent="0.2">
      <c r="A206" s="1">
        <v>45097</v>
      </c>
      <c r="B206">
        <v>2</v>
      </c>
      <c r="C206" t="s">
        <v>16</v>
      </c>
      <c r="D206" s="2">
        <v>0.40347222222222223</v>
      </c>
      <c r="E206">
        <v>15105.43</v>
      </c>
      <c r="F206" s="2">
        <v>0.40555555555555556</v>
      </c>
      <c r="G206">
        <v>15094.85</v>
      </c>
      <c r="H206">
        <v>15094.85</v>
      </c>
      <c r="I206">
        <v>15131.86</v>
      </c>
      <c r="J206" t="s">
        <v>15</v>
      </c>
      <c r="K206">
        <v>-10.57</v>
      </c>
      <c r="L206" s="9">
        <v>-1</v>
      </c>
      <c r="M206">
        <v>0</v>
      </c>
      <c r="N206">
        <f t="shared" si="6"/>
        <v>3</v>
      </c>
      <c r="O206">
        <f t="shared" si="7"/>
        <v>0</v>
      </c>
    </row>
    <row r="207" spans="1:15" x14ac:dyDescent="0.2">
      <c r="A207" s="1">
        <v>45097</v>
      </c>
      <c r="B207">
        <v>2</v>
      </c>
      <c r="C207" t="s">
        <v>13</v>
      </c>
      <c r="D207" s="2">
        <v>0.43472222222222223</v>
      </c>
      <c r="E207">
        <v>14977.46</v>
      </c>
      <c r="F207" s="2">
        <v>0.43680555555555556</v>
      </c>
      <c r="G207">
        <v>14951.25</v>
      </c>
      <c r="H207">
        <v>14987.95</v>
      </c>
      <c r="I207">
        <v>14951.25</v>
      </c>
      <c r="J207" t="s">
        <v>14</v>
      </c>
      <c r="K207">
        <v>26.21</v>
      </c>
      <c r="L207" s="9">
        <v>2.5</v>
      </c>
      <c r="M207">
        <v>1</v>
      </c>
      <c r="N207">
        <f t="shared" si="6"/>
        <v>0</v>
      </c>
      <c r="O207">
        <f t="shared" si="7"/>
        <v>1</v>
      </c>
    </row>
    <row r="208" spans="1:15" x14ac:dyDescent="0.2">
      <c r="A208" s="1">
        <v>45103</v>
      </c>
      <c r="B208">
        <v>1</v>
      </c>
      <c r="C208" t="s">
        <v>16</v>
      </c>
      <c r="D208" s="2">
        <v>0.40902777777777777</v>
      </c>
      <c r="E208">
        <v>14926.13</v>
      </c>
      <c r="F208" s="2">
        <v>0.40972222222222221</v>
      </c>
      <c r="G208">
        <v>14915.68</v>
      </c>
      <c r="H208">
        <v>14915.68</v>
      </c>
      <c r="I208">
        <v>14952.25</v>
      </c>
      <c r="J208" t="s">
        <v>15</v>
      </c>
      <c r="K208">
        <v>-10.45</v>
      </c>
      <c r="L208" s="9">
        <v>-1</v>
      </c>
      <c r="M208">
        <v>0</v>
      </c>
      <c r="N208">
        <f t="shared" si="6"/>
        <v>1</v>
      </c>
      <c r="O208">
        <f t="shared" si="7"/>
        <v>0</v>
      </c>
    </row>
    <row r="209" spans="1:15" x14ac:dyDescent="0.2">
      <c r="A209" s="1">
        <v>45103</v>
      </c>
      <c r="B209">
        <v>1</v>
      </c>
      <c r="C209" t="s">
        <v>13</v>
      </c>
      <c r="D209" s="2">
        <v>0.44166666666666665</v>
      </c>
      <c r="E209">
        <v>14921.44</v>
      </c>
      <c r="F209" s="2">
        <v>0.44374999999999998</v>
      </c>
      <c r="G209">
        <v>14895.33</v>
      </c>
      <c r="H209">
        <v>14931.89</v>
      </c>
      <c r="I209">
        <v>14895.33</v>
      </c>
      <c r="J209" t="s">
        <v>14</v>
      </c>
      <c r="K209">
        <v>26.11</v>
      </c>
      <c r="L209" s="9">
        <v>2.5</v>
      </c>
      <c r="M209">
        <v>1</v>
      </c>
      <c r="N209">
        <f t="shared" si="6"/>
        <v>0</v>
      </c>
      <c r="O209">
        <f t="shared" si="7"/>
        <v>1</v>
      </c>
    </row>
    <row r="210" spans="1:15" x14ac:dyDescent="0.2">
      <c r="A210" s="1">
        <v>45105</v>
      </c>
      <c r="B210">
        <v>3</v>
      </c>
      <c r="C210" t="s">
        <v>16</v>
      </c>
      <c r="D210" s="2">
        <v>0.40277777777777779</v>
      </c>
      <c r="E210">
        <v>14910.34</v>
      </c>
      <c r="F210" s="2">
        <v>0.40416666666666667</v>
      </c>
      <c r="G210">
        <v>14936.43</v>
      </c>
      <c r="H210">
        <v>14899.9</v>
      </c>
      <c r="I210">
        <v>14936.43</v>
      </c>
      <c r="J210" t="s">
        <v>14</v>
      </c>
      <c r="K210">
        <v>26.09</v>
      </c>
      <c r="L210" s="9">
        <v>2.5</v>
      </c>
      <c r="M210">
        <v>1</v>
      </c>
      <c r="N210">
        <f t="shared" si="6"/>
        <v>0</v>
      </c>
      <c r="O210">
        <f t="shared" si="7"/>
        <v>2</v>
      </c>
    </row>
    <row r="211" spans="1:15" x14ac:dyDescent="0.2">
      <c r="A211" s="1">
        <v>45105</v>
      </c>
      <c r="B211">
        <v>3</v>
      </c>
      <c r="C211" t="s">
        <v>16</v>
      </c>
      <c r="D211" s="2">
        <v>0.44722222222222224</v>
      </c>
      <c r="E211">
        <v>15022.93</v>
      </c>
      <c r="F211" s="2">
        <v>0.45763888888888887</v>
      </c>
      <c r="G211">
        <v>15012.42</v>
      </c>
      <c r="H211">
        <v>15012.42</v>
      </c>
      <c r="I211">
        <v>15049.23</v>
      </c>
      <c r="J211" t="s">
        <v>15</v>
      </c>
      <c r="K211">
        <v>-10.52</v>
      </c>
      <c r="L211" s="9">
        <v>-1</v>
      </c>
      <c r="M211">
        <v>0</v>
      </c>
      <c r="N211">
        <f t="shared" si="6"/>
        <v>1</v>
      </c>
      <c r="O211">
        <f t="shared" si="7"/>
        <v>0</v>
      </c>
    </row>
    <row r="212" spans="1:15" x14ac:dyDescent="0.2">
      <c r="A212" s="1">
        <v>45106</v>
      </c>
      <c r="B212">
        <v>4</v>
      </c>
      <c r="C212" t="s">
        <v>13</v>
      </c>
      <c r="D212" s="2">
        <v>0.41458333333333336</v>
      </c>
      <c r="E212">
        <v>14938.07</v>
      </c>
      <c r="F212" s="2">
        <v>0.41736111111111113</v>
      </c>
      <c r="G212">
        <v>14948.53</v>
      </c>
      <c r="H212">
        <v>14948.53</v>
      </c>
      <c r="I212">
        <v>14911.93</v>
      </c>
      <c r="J212" t="s">
        <v>15</v>
      </c>
      <c r="K212">
        <v>-10.46</v>
      </c>
      <c r="L212" s="9">
        <v>-1</v>
      </c>
      <c r="M212">
        <v>0</v>
      </c>
      <c r="N212">
        <f t="shared" si="6"/>
        <v>2</v>
      </c>
      <c r="O212">
        <f t="shared" si="7"/>
        <v>0</v>
      </c>
    </row>
    <row r="213" spans="1:15" x14ac:dyDescent="0.2">
      <c r="A213" s="1">
        <v>45106</v>
      </c>
      <c r="B213">
        <v>4</v>
      </c>
      <c r="C213" t="s">
        <v>13</v>
      </c>
      <c r="D213" s="2">
        <v>0.42638888888888887</v>
      </c>
      <c r="E213">
        <v>14892.69</v>
      </c>
      <c r="F213" s="2">
        <v>0.42708333333333331</v>
      </c>
      <c r="G213">
        <v>14903.12</v>
      </c>
      <c r="H213">
        <v>14903.12</v>
      </c>
      <c r="I213">
        <v>14866.63</v>
      </c>
      <c r="J213" t="s">
        <v>15</v>
      </c>
      <c r="K213">
        <v>-10.42</v>
      </c>
      <c r="L213" s="9">
        <v>-1</v>
      </c>
      <c r="M213">
        <v>0</v>
      </c>
      <c r="N213">
        <f t="shared" si="6"/>
        <v>3</v>
      </c>
      <c r="O213">
        <f t="shared" si="7"/>
        <v>0</v>
      </c>
    </row>
    <row r="214" spans="1:15" x14ac:dyDescent="0.2">
      <c r="A214" s="1">
        <v>45107</v>
      </c>
      <c r="B214">
        <v>5</v>
      </c>
      <c r="C214" t="s">
        <v>16</v>
      </c>
      <c r="D214" s="2">
        <v>0.40763888888888888</v>
      </c>
      <c r="E214">
        <v>15141.05</v>
      </c>
      <c r="F214" s="2">
        <v>0.40902777777777777</v>
      </c>
      <c r="G214">
        <v>15167.55</v>
      </c>
      <c r="H214">
        <v>15130.45</v>
      </c>
      <c r="I214">
        <v>15167.55</v>
      </c>
      <c r="J214" t="s">
        <v>14</v>
      </c>
      <c r="K214">
        <v>26.5</v>
      </c>
      <c r="L214" s="9">
        <v>2.5</v>
      </c>
      <c r="M214">
        <v>1</v>
      </c>
      <c r="N214">
        <f t="shared" si="6"/>
        <v>0</v>
      </c>
      <c r="O214">
        <f t="shared" si="7"/>
        <v>1</v>
      </c>
    </row>
    <row r="215" spans="1:15" x14ac:dyDescent="0.2">
      <c r="A215" s="1">
        <v>45111</v>
      </c>
      <c r="B215">
        <v>2</v>
      </c>
      <c r="C215" t="s">
        <v>16</v>
      </c>
      <c r="D215" s="2">
        <v>0.39583333333333331</v>
      </c>
      <c r="E215">
        <v>15208.99</v>
      </c>
      <c r="F215" s="2">
        <v>0.43472222222222223</v>
      </c>
      <c r="G215">
        <v>15198.34</v>
      </c>
      <c r="H215">
        <v>15198.34</v>
      </c>
      <c r="I215">
        <v>15235.6</v>
      </c>
      <c r="J215" t="s">
        <v>15</v>
      </c>
      <c r="K215">
        <v>-10.65</v>
      </c>
      <c r="L215" s="9">
        <v>-1</v>
      </c>
      <c r="M215">
        <v>0</v>
      </c>
      <c r="N215">
        <f t="shared" si="6"/>
        <v>1</v>
      </c>
      <c r="O215">
        <f t="shared" si="7"/>
        <v>0</v>
      </c>
    </row>
    <row r="216" spans="1:15" x14ac:dyDescent="0.2">
      <c r="A216" s="1">
        <v>45111</v>
      </c>
      <c r="B216">
        <v>2</v>
      </c>
      <c r="C216" t="s">
        <v>13</v>
      </c>
      <c r="D216" s="2">
        <v>0.43611111111111112</v>
      </c>
      <c r="E216">
        <v>15198.98</v>
      </c>
      <c r="F216" s="2">
        <v>0.64583333333333337</v>
      </c>
      <c r="G216">
        <v>15186</v>
      </c>
      <c r="H216">
        <v>15209.62</v>
      </c>
      <c r="I216">
        <v>15172.38</v>
      </c>
      <c r="J216" t="s">
        <v>18</v>
      </c>
      <c r="K216">
        <v>12.98</v>
      </c>
      <c r="L216" s="9">
        <v>1.220149036</v>
      </c>
      <c r="M216">
        <v>1</v>
      </c>
      <c r="N216">
        <f t="shared" si="6"/>
        <v>0</v>
      </c>
      <c r="O216">
        <f t="shared" si="7"/>
        <v>1</v>
      </c>
    </row>
    <row r="217" spans="1:15" x14ac:dyDescent="0.2">
      <c r="A217" s="1">
        <v>45112</v>
      </c>
      <c r="B217">
        <v>3</v>
      </c>
      <c r="C217" t="s">
        <v>16</v>
      </c>
      <c r="D217" s="2">
        <v>0.39930555555555558</v>
      </c>
      <c r="E217">
        <v>15175.54</v>
      </c>
      <c r="F217" s="2">
        <v>0.40277777777777779</v>
      </c>
      <c r="G217">
        <v>15202.1</v>
      </c>
      <c r="H217">
        <v>15164.92</v>
      </c>
      <c r="I217">
        <v>15202.1</v>
      </c>
      <c r="J217" t="s">
        <v>14</v>
      </c>
      <c r="K217">
        <v>26.56</v>
      </c>
      <c r="L217" s="9">
        <v>2.5</v>
      </c>
      <c r="M217">
        <v>1</v>
      </c>
      <c r="N217">
        <f t="shared" si="6"/>
        <v>0</v>
      </c>
      <c r="O217">
        <f t="shared" si="7"/>
        <v>2</v>
      </c>
    </row>
    <row r="218" spans="1:15" x14ac:dyDescent="0.2">
      <c r="A218" s="1">
        <v>45112</v>
      </c>
      <c r="B218">
        <v>3</v>
      </c>
      <c r="C218" t="s">
        <v>16</v>
      </c>
      <c r="D218" s="2">
        <v>0.43194444444444446</v>
      </c>
      <c r="E218">
        <v>15255.72</v>
      </c>
      <c r="F218" s="2">
        <v>0.45</v>
      </c>
      <c r="G218">
        <v>15245.04</v>
      </c>
      <c r="H218">
        <v>15245.04</v>
      </c>
      <c r="I218">
        <v>15282.41</v>
      </c>
      <c r="J218" t="s">
        <v>15</v>
      </c>
      <c r="K218">
        <v>-10.68</v>
      </c>
      <c r="L218" s="9">
        <v>-1</v>
      </c>
      <c r="M218">
        <v>0</v>
      </c>
      <c r="N218">
        <f t="shared" si="6"/>
        <v>1</v>
      </c>
      <c r="O218">
        <f t="shared" si="7"/>
        <v>0</v>
      </c>
    </row>
    <row r="219" spans="1:15" x14ac:dyDescent="0.2">
      <c r="A219" s="1">
        <v>45114</v>
      </c>
      <c r="B219">
        <v>5</v>
      </c>
      <c r="C219" t="s">
        <v>16</v>
      </c>
      <c r="D219" s="2">
        <v>0.41111111111111109</v>
      </c>
      <c r="E219">
        <v>15107.63</v>
      </c>
      <c r="F219" s="2">
        <v>0.42708333333333331</v>
      </c>
      <c r="G219">
        <v>15097.05</v>
      </c>
      <c r="H219">
        <v>15097.05</v>
      </c>
      <c r="I219">
        <v>15134.06</v>
      </c>
      <c r="J219" t="s">
        <v>15</v>
      </c>
      <c r="K219">
        <v>-10.58</v>
      </c>
      <c r="L219" s="9">
        <v>-1</v>
      </c>
      <c r="M219">
        <v>0</v>
      </c>
      <c r="N219">
        <f t="shared" si="6"/>
        <v>2</v>
      </c>
      <c r="O219">
        <f t="shared" si="7"/>
        <v>0</v>
      </c>
    </row>
    <row r="220" spans="1:15" x14ac:dyDescent="0.2">
      <c r="A220" s="1">
        <v>45114</v>
      </c>
      <c r="B220">
        <v>5</v>
      </c>
      <c r="C220" t="s">
        <v>13</v>
      </c>
      <c r="D220" s="2">
        <v>0.44166666666666665</v>
      </c>
      <c r="E220">
        <v>15053.51</v>
      </c>
      <c r="F220" s="2">
        <v>0.44305555555555554</v>
      </c>
      <c r="G220">
        <v>15064.05</v>
      </c>
      <c r="H220">
        <v>15064.05</v>
      </c>
      <c r="I220">
        <v>15027.17</v>
      </c>
      <c r="J220" t="s">
        <v>15</v>
      </c>
      <c r="K220">
        <v>-10.54</v>
      </c>
      <c r="L220" s="9">
        <v>-1</v>
      </c>
      <c r="M220">
        <v>0</v>
      </c>
      <c r="N220">
        <f t="shared" si="6"/>
        <v>3</v>
      </c>
      <c r="O220">
        <f t="shared" si="7"/>
        <v>0</v>
      </c>
    </row>
    <row r="221" spans="1:15" x14ac:dyDescent="0.2">
      <c r="A221" s="1">
        <v>45117</v>
      </c>
      <c r="B221">
        <v>1</v>
      </c>
      <c r="C221" t="s">
        <v>13</v>
      </c>
      <c r="D221" s="2">
        <v>0.41319444444444442</v>
      </c>
      <c r="E221">
        <v>14972.97</v>
      </c>
      <c r="F221" s="2">
        <v>0.41388888888888886</v>
      </c>
      <c r="G221">
        <v>14946.77</v>
      </c>
      <c r="H221">
        <v>14983.45</v>
      </c>
      <c r="I221">
        <v>14946.77</v>
      </c>
      <c r="J221" t="s">
        <v>14</v>
      </c>
      <c r="K221">
        <v>26.2</v>
      </c>
      <c r="L221" s="9">
        <v>2.5</v>
      </c>
      <c r="M221">
        <v>1</v>
      </c>
      <c r="N221">
        <f t="shared" si="6"/>
        <v>0</v>
      </c>
      <c r="O221">
        <f t="shared" si="7"/>
        <v>1</v>
      </c>
    </row>
    <row r="222" spans="1:15" x14ac:dyDescent="0.2">
      <c r="A222" s="1">
        <v>45117</v>
      </c>
      <c r="B222">
        <v>1</v>
      </c>
      <c r="C222" t="s">
        <v>16</v>
      </c>
      <c r="D222" s="2">
        <v>0.43472222222222223</v>
      </c>
      <c r="E222">
        <v>15046.92</v>
      </c>
      <c r="F222" s="2">
        <v>0.43611111111111112</v>
      </c>
      <c r="G222">
        <v>15036.39</v>
      </c>
      <c r="H222">
        <v>15036.39</v>
      </c>
      <c r="I222">
        <v>15073.26</v>
      </c>
      <c r="J222" t="s">
        <v>15</v>
      </c>
      <c r="K222">
        <v>-10.53</v>
      </c>
      <c r="L222" s="9">
        <v>-1</v>
      </c>
      <c r="M222">
        <v>0</v>
      </c>
      <c r="N222">
        <f t="shared" si="6"/>
        <v>1</v>
      </c>
      <c r="O222">
        <f t="shared" si="7"/>
        <v>0</v>
      </c>
    </row>
    <row r="223" spans="1:15" x14ac:dyDescent="0.2">
      <c r="A223" s="1">
        <v>45117</v>
      </c>
      <c r="B223">
        <v>1</v>
      </c>
      <c r="C223" t="s">
        <v>13</v>
      </c>
      <c r="D223" s="2">
        <v>0.45555555555555555</v>
      </c>
      <c r="E223">
        <v>15003.53</v>
      </c>
      <c r="F223" s="2">
        <v>0.45624999999999999</v>
      </c>
      <c r="G223">
        <v>15014.04</v>
      </c>
      <c r="H223">
        <v>15014.04</v>
      </c>
      <c r="I223">
        <v>14977.28</v>
      </c>
      <c r="J223" t="s">
        <v>15</v>
      </c>
      <c r="K223">
        <v>-10.5</v>
      </c>
      <c r="L223" s="9">
        <v>-1</v>
      </c>
      <c r="M223">
        <v>0</v>
      </c>
      <c r="N223">
        <f t="shared" si="6"/>
        <v>2</v>
      </c>
      <c r="O223">
        <f t="shared" si="7"/>
        <v>0</v>
      </c>
    </row>
    <row r="224" spans="1:15" x14ac:dyDescent="0.2">
      <c r="A224" s="1">
        <v>45118</v>
      </c>
      <c r="B224">
        <v>2</v>
      </c>
      <c r="C224" t="s">
        <v>13</v>
      </c>
      <c r="D224" s="2">
        <v>0.39861111111111114</v>
      </c>
      <c r="E224">
        <v>15057.59</v>
      </c>
      <c r="F224" s="2">
        <v>0.39930555555555558</v>
      </c>
      <c r="G224">
        <v>15068.13</v>
      </c>
      <c r="H224">
        <v>15068.13</v>
      </c>
      <c r="I224">
        <v>15031.24</v>
      </c>
      <c r="J224" t="s">
        <v>15</v>
      </c>
      <c r="K224">
        <v>-10.54</v>
      </c>
      <c r="L224" s="9">
        <v>-1</v>
      </c>
      <c r="M224">
        <v>0</v>
      </c>
      <c r="N224">
        <f t="shared" si="6"/>
        <v>3</v>
      </c>
      <c r="O224">
        <f t="shared" si="7"/>
        <v>0</v>
      </c>
    </row>
    <row r="225" spans="1:15" x14ac:dyDescent="0.2">
      <c r="A225" s="1">
        <v>45118</v>
      </c>
      <c r="B225">
        <v>2</v>
      </c>
      <c r="C225" t="s">
        <v>13</v>
      </c>
      <c r="D225" s="2">
        <v>0.41041666666666665</v>
      </c>
      <c r="E225">
        <v>15019.62</v>
      </c>
      <c r="F225" s="2">
        <v>0.41180555555555554</v>
      </c>
      <c r="G225">
        <v>15030.13</v>
      </c>
      <c r="H225">
        <v>15030.13</v>
      </c>
      <c r="I225">
        <v>14993.34</v>
      </c>
      <c r="J225" t="s">
        <v>15</v>
      </c>
      <c r="K225">
        <v>-10.51</v>
      </c>
      <c r="L225" s="9">
        <v>-1</v>
      </c>
      <c r="M225">
        <v>0</v>
      </c>
      <c r="N225">
        <f t="shared" si="6"/>
        <v>4</v>
      </c>
      <c r="O225">
        <f t="shared" si="7"/>
        <v>0</v>
      </c>
    </row>
    <row r="226" spans="1:15" x14ac:dyDescent="0.2">
      <c r="A226" s="1">
        <v>45118</v>
      </c>
      <c r="B226">
        <v>2</v>
      </c>
      <c r="C226" t="s">
        <v>16</v>
      </c>
      <c r="D226" s="2">
        <v>0.4375</v>
      </c>
      <c r="E226">
        <v>15031.35</v>
      </c>
      <c r="F226" s="2">
        <v>0.44444444444444442</v>
      </c>
      <c r="G226">
        <v>15057.66</v>
      </c>
      <c r="H226">
        <v>15020.83</v>
      </c>
      <c r="I226">
        <v>15057.66</v>
      </c>
      <c r="J226" t="s">
        <v>14</v>
      </c>
      <c r="K226">
        <v>26.3</v>
      </c>
      <c r="L226" s="9">
        <v>2.5</v>
      </c>
      <c r="M226">
        <v>1</v>
      </c>
      <c r="N226">
        <f t="shared" si="6"/>
        <v>0</v>
      </c>
      <c r="O226">
        <f t="shared" si="7"/>
        <v>1</v>
      </c>
    </row>
    <row r="227" spans="1:15" x14ac:dyDescent="0.2">
      <c r="A227" s="1">
        <v>45119</v>
      </c>
      <c r="B227">
        <v>3</v>
      </c>
      <c r="C227" t="s">
        <v>16</v>
      </c>
      <c r="D227" s="2">
        <v>0.39652777777777776</v>
      </c>
      <c r="E227">
        <v>15286.47</v>
      </c>
      <c r="F227" s="2">
        <v>0.3972222222222222</v>
      </c>
      <c r="G227">
        <v>15275.77</v>
      </c>
      <c r="H227">
        <v>15275.77</v>
      </c>
      <c r="I227">
        <v>15313.22</v>
      </c>
      <c r="J227" t="s">
        <v>15</v>
      </c>
      <c r="K227">
        <v>-10.7</v>
      </c>
      <c r="L227" s="9">
        <v>-1</v>
      </c>
      <c r="M227">
        <v>0</v>
      </c>
      <c r="N227">
        <f t="shared" si="6"/>
        <v>1</v>
      </c>
      <c r="O227">
        <f t="shared" si="7"/>
        <v>0</v>
      </c>
    </row>
    <row r="228" spans="1:15" x14ac:dyDescent="0.2">
      <c r="A228" s="1">
        <v>45119</v>
      </c>
      <c r="B228">
        <v>3</v>
      </c>
      <c r="C228" t="s">
        <v>16</v>
      </c>
      <c r="D228" s="2">
        <v>0.42569444444444443</v>
      </c>
      <c r="E228">
        <v>15338.07</v>
      </c>
      <c r="F228" s="2">
        <v>0.45347222222222222</v>
      </c>
      <c r="G228">
        <v>15327.33</v>
      </c>
      <c r="H228">
        <v>15327.33</v>
      </c>
      <c r="I228">
        <v>15364.91</v>
      </c>
      <c r="J228" t="s">
        <v>15</v>
      </c>
      <c r="K228">
        <v>-10.74</v>
      </c>
      <c r="L228" s="9">
        <v>-1</v>
      </c>
      <c r="M228">
        <v>0</v>
      </c>
      <c r="N228">
        <f t="shared" si="6"/>
        <v>2</v>
      </c>
      <c r="O228">
        <f t="shared" si="7"/>
        <v>0</v>
      </c>
    </row>
    <row r="229" spans="1:15" x14ac:dyDescent="0.2">
      <c r="A229" s="1">
        <v>45120</v>
      </c>
      <c r="B229">
        <v>4</v>
      </c>
      <c r="C229" t="s">
        <v>16</v>
      </c>
      <c r="D229" s="2">
        <v>0.39583333333333331</v>
      </c>
      <c r="E229">
        <v>15431.05</v>
      </c>
      <c r="F229" s="2">
        <v>0.39652777777777776</v>
      </c>
      <c r="G229">
        <v>15420.25</v>
      </c>
      <c r="H229">
        <v>15420.25</v>
      </c>
      <c r="I229">
        <v>15458.05</v>
      </c>
      <c r="J229" t="s">
        <v>15</v>
      </c>
      <c r="K229">
        <v>-10.8</v>
      </c>
      <c r="L229" s="9">
        <v>-1</v>
      </c>
      <c r="M229">
        <v>0</v>
      </c>
      <c r="N229">
        <f t="shared" si="6"/>
        <v>3</v>
      </c>
      <c r="O229">
        <f t="shared" si="7"/>
        <v>0</v>
      </c>
    </row>
    <row r="230" spans="1:15" x14ac:dyDescent="0.2">
      <c r="A230" s="1">
        <v>45120</v>
      </c>
      <c r="B230">
        <v>4</v>
      </c>
      <c r="C230" t="s">
        <v>13</v>
      </c>
      <c r="D230" s="2">
        <v>0.43680555555555556</v>
      </c>
      <c r="E230">
        <v>15437.7</v>
      </c>
      <c r="F230" s="2">
        <v>0.44166666666666665</v>
      </c>
      <c r="G230">
        <v>15448.5</v>
      </c>
      <c r="H230">
        <v>15448.5</v>
      </c>
      <c r="I230">
        <v>15410.68</v>
      </c>
      <c r="J230" t="s">
        <v>15</v>
      </c>
      <c r="K230">
        <v>-10.81</v>
      </c>
      <c r="L230" s="9">
        <v>-1</v>
      </c>
      <c r="M230">
        <v>0</v>
      </c>
      <c r="N230">
        <f t="shared" si="6"/>
        <v>4</v>
      </c>
      <c r="O230">
        <f t="shared" si="7"/>
        <v>0</v>
      </c>
    </row>
    <row r="231" spans="1:15" x14ac:dyDescent="0.2">
      <c r="A231" s="1">
        <v>45121</v>
      </c>
      <c r="B231">
        <v>5</v>
      </c>
      <c r="C231" t="s">
        <v>16</v>
      </c>
      <c r="D231" s="2">
        <v>0.40069444444444446</v>
      </c>
      <c r="E231">
        <v>15629.54</v>
      </c>
      <c r="F231" s="2">
        <v>0.40208333333333335</v>
      </c>
      <c r="G231">
        <v>15656.89</v>
      </c>
      <c r="H231">
        <v>15618.6</v>
      </c>
      <c r="I231">
        <v>15656.89</v>
      </c>
      <c r="J231" t="s">
        <v>14</v>
      </c>
      <c r="K231">
        <v>27.35</v>
      </c>
      <c r="L231" s="9">
        <v>2.5</v>
      </c>
      <c r="M231">
        <v>1</v>
      </c>
      <c r="N231">
        <f t="shared" si="6"/>
        <v>0</v>
      </c>
      <c r="O231">
        <f t="shared" si="7"/>
        <v>1</v>
      </c>
    </row>
    <row r="232" spans="1:15" x14ac:dyDescent="0.2">
      <c r="A232" s="1">
        <v>45121</v>
      </c>
      <c r="B232">
        <v>5</v>
      </c>
      <c r="C232" t="s">
        <v>13</v>
      </c>
      <c r="D232" s="2">
        <v>0.45208333333333334</v>
      </c>
      <c r="E232">
        <v>15636.08</v>
      </c>
      <c r="F232" s="2">
        <v>0.45277777777777778</v>
      </c>
      <c r="G232">
        <v>15647.03</v>
      </c>
      <c r="H232">
        <v>15647.03</v>
      </c>
      <c r="I232">
        <v>15608.72</v>
      </c>
      <c r="J232" t="s">
        <v>15</v>
      </c>
      <c r="K232">
        <v>-10.95</v>
      </c>
      <c r="L232" s="9">
        <v>-1</v>
      </c>
      <c r="M232">
        <v>0</v>
      </c>
      <c r="N232">
        <f t="shared" si="6"/>
        <v>1</v>
      </c>
      <c r="O232">
        <f t="shared" si="7"/>
        <v>0</v>
      </c>
    </row>
    <row r="233" spans="1:15" x14ac:dyDescent="0.2">
      <c r="A233" s="1">
        <v>45124</v>
      </c>
      <c r="B233">
        <v>1</v>
      </c>
      <c r="C233" t="s">
        <v>16</v>
      </c>
      <c r="D233" s="2">
        <v>0.39583333333333331</v>
      </c>
      <c r="E233">
        <v>15596.61</v>
      </c>
      <c r="F233" s="2">
        <v>0.39652777777777776</v>
      </c>
      <c r="G233">
        <v>15623.91</v>
      </c>
      <c r="H233">
        <v>15585.69</v>
      </c>
      <c r="I233">
        <v>15623.91</v>
      </c>
      <c r="J233" t="s">
        <v>14</v>
      </c>
      <c r="K233">
        <v>27.29</v>
      </c>
      <c r="L233" s="9">
        <v>2.5</v>
      </c>
      <c r="M233">
        <v>1</v>
      </c>
      <c r="N233">
        <f t="shared" si="6"/>
        <v>0</v>
      </c>
      <c r="O233">
        <f t="shared" si="7"/>
        <v>1</v>
      </c>
    </row>
    <row r="234" spans="1:15" x14ac:dyDescent="0.2">
      <c r="A234" s="1">
        <v>45124</v>
      </c>
      <c r="B234">
        <v>1</v>
      </c>
      <c r="C234" t="s">
        <v>16</v>
      </c>
      <c r="D234" s="2">
        <v>0.4284722222222222</v>
      </c>
      <c r="E234">
        <v>15616.09</v>
      </c>
      <c r="F234" s="2">
        <v>0.4777777777777778</v>
      </c>
      <c r="G234">
        <v>15643.42</v>
      </c>
      <c r="H234">
        <v>15605.16</v>
      </c>
      <c r="I234">
        <v>15643.42</v>
      </c>
      <c r="J234" t="s">
        <v>14</v>
      </c>
      <c r="K234">
        <v>27.33</v>
      </c>
      <c r="L234" s="9">
        <v>2.5</v>
      </c>
      <c r="M234">
        <v>1</v>
      </c>
      <c r="N234">
        <f t="shared" si="6"/>
        <v>0</v>
      </c>
      <c r="O234">
        <f t="shared" si="7"/>
        <v>2</v>
      </c>
    </row>
    <row r="235" spans="1:15" x14ac:dyDescent="0.2">
      <c r="A235" s="1">
        <v>45125</v>
      </c>
      <c r="B235">
        <v>2</v>
      </c>
      <c r="C235" t="s">
        <v>13</v>
      </c>
      <c r="D235" s="2">
        <v>0.40138888888888891</v>
      </c>
      <c r="E235">
        <v>15635.1</v>
      </c>
      <c r="F235" s="2">
        <v>0.40347222222222223</v>
      </c>
      <c r="G235">
        <v>15646.05</v>
      </c>
      <c r="H235">
        <v>15646.05</v>
      </c>
      <c r="I235">
        <v>15607.74</v>
      </c>
      <c r="J235" t="s">
        <v>15</v>
      </c>
      <c r="K235">
        <v>-10.94</v>
      </c>
      <c r="L235" s="9">
        <v>-1</v>
      </c>
      <c r="M235">
        <v>0</v>
      </c>
      <c r="N235">
        <f t="shared" si="6"/>
        <v>1</v>
      </c>
      <c r="O235">
        <f t="shared" si="7"/>
        <v>0</v>
      </c>
    </row>
    <row r="236" spans="1:15" x14ac:dyDescent="0.2">
      <c r="A236" s="1">
        <v>45125</v>
      </c>
      <c r="B236">
        <v>2</v>
      </c>
      <c r="C236" t="s">
        <v>16</v>
      </c>
      <c r="D236" s="2">
        <v>0.45069444444444445</v>
      </c>
      <c r="E236">
        <v>15662.46</v>
      </c>
      <c r="F236" s="2">
        <v>0.45347222222222222</v>
      </c>
      <c r="G236">
        <v>15651.49</v>
      </c>
      <c r="H236">
        <v>15651.49</v>
      </c>
      <c r="I236">
        <v>15689.87</v>
      </c>
      <c r="J236" t="s">
        <v>15</v>
      </c>
      <c r="K236">
        <v>-10.96</v>
      </c>
      <c r="L236" s="9">
        <v>-1</v>
      </c>
      <c r="M236">
        <v>0</v>
      </c>
      <c r="N236">
        <f t="shared" si="6"/>
        <v>2</v>
      </c>
      <c r="O236">
        <f t="shared" si="7"/>
        <v>0</v>
      </c>
    </row>
    <row r="237" spans="1:15" x14ac:dyDescent="0.2">
      <c r="A237" s="1">
        <v>45126</v>
      </c>
      <c r="B237">
        <v>3</v>
      </c>
      <c r="C237" t="s">
        <v>13</v>
      </c>
      <c r="D237" s="2">
        <v>0.42916666666666664</v>
      </c>
      <c r="E237">
        <v>15851.99</v>
      </c>
      <c r="F237" s="2">
        <v>0.43055555555555558</v>
      </c>
      <c r="G237">
        <v>15863.09</v>
      </c>
      <c r="H237">
        <v>15863.09</v>
      </c>
      <c r="I237">
        <v>15824.25</v>
      </c>
      <c r="J237" t="s">
        <v>15</v>
      </c>
      <c r="K237">
        <v>-11.1</v>
      </c>
      <c r="L237" s="9">
        <v>-1</v>
      </c>
      <c r="M237">
        <v>0</v>
      </c>
      <c r="N237">
        <f t="shared" si="6"/>
        <v>3</v>
      </c>
      <c r="O237">
        <f t="shared" si="7"/>
        <v>0</v>
      </c>
    </row>
    <row r="238" spans="1:15" x14ac:dyDescent="0.2">
      <c r="A238" s="1">
        <v>45126</v>
      </c>
      <c r="B238">
        <v>3</v>
      </c>
      <c r="C238" t="s">
        <v>16</v>
      </c>
      <c r="D238" s="2">
        <v>0.44861111111111113</v>
      </c>
      <c r="E238">
        <v>15903.37</v>
      </c>
      <c r="F238" s="2">
        <v>0.44930555555555557</v>
      </c>
      <c r="G238">
        <v>15892.23</v>
      </c>
      <c r="H238">
        <v>15892.23</v>
      </c>
      <c r="I238">
        <v>15931.2</v>
      </c>
      <c r="J238" t="s">
        <v>15</v>
      </c>
      <c r="K238">
        <v>-11.13</v>
      </c>
      <c r="L238" s="9">
        <v>-1</v>
      </c>
      <c r="M238">
        <v>0</v>
      </c>
      <c r="N238">
        <f t="shared" si="6"/>
        <v>4</v>
      </c>
      <c r="O238">
        <f t="shared" si="7"/>
        <v>0</v>
      </c>
    </row>
    <row r="239" spans="1:15" x14ac:dyDescent="0.2">
      <c r="A239" s="1">
        <v>45127</v>
      </c>
      <c r="B239">
        <v>4</v>
      </c>
      <c r="C239" t="s">
        <v>16</v>
      </c>
      <c r="D239" s="2">
        <v>0.39930555555555558</v>
      </c>
      <c r="E239">
        <v>15736.79</v>
      </c>
      <c r="F239" s="2">
        <v>0.40763888888888888</v>
      </c>
      <c r="G239">
        <v>15764.33</v>
      </c>
      <c r="H239">
        <v>15725.78</v>
      </c>
      <c r="I239">
        <v>15764.33</v>
      </c>
      <c r="J239" t="s">
        <v>14</v>
      </c>
      <c r="K239">
        <v>27.54</v>
      </c>
      <c r="L239" s="9">
        <v>2.5</v>
      </c>
      <c r="M239">
        <v>1</v>
      </c>
      <c r="N239">
        <f t="shared" si="6"/>
        <v>0</v>
      </c>
      <c r="O239">
        <f t="shared" si="7"/>
        <v>1</v>
      </c>
    </row>
    <row r="240" spans="1:15" x14ac:dyDescent="0.2">
      <c r="A240" s="1">
        <v>45127</v>
      </c>
      <c r="B240">
        <v>4</v>
      </c>
      <c r="C240" t="s">
        <v>13</v>
      </c>
      <c r="D240" s="2">
        <v>0.42291666666666666</v>
      </c>
      <c r="E240">
        <v>15692.41</v>
      </c>
      <c r="F240" s="2">
        <v>0.42569444444444443</v>
      </c>
      <c r="G240">
        <v>15703.39</v>
      </c>
      <c r="H240">
        <v>15703.39</v>
      </c>
      <c r="I240">
        <v>15664.95</v>
      </c>
      <c r="J240" t="s">
        <v>15</v>
      </c>
      <c r="K240">
        <v>-10.98</v>
      </c>
      <c r="L240" s="9">
        <v>-1</v>
      </c>
      <c r="M240">
        <v>0</v>
      </c>
      <c r="N240">
        <f t="shared" si="6"/>
        <v>1</v>
      </c>
      <c r="O240">
        <f t="shared" si="7"/>
        <v>0</v>
      </c>
    </row>
    <row r="241" spans="1:15" x14ac:dyDescent="0.2">
      <c r="A241" s="1">
        <v>45128</v>
      </c>
      <c r="B241">
        <v>5</v>
      </c>
      <c r="C241" t="s">
        <v>13</v>
      </c>
      <c r="D241" s="2">
        <v>0.40416666666666667</v>
      </c>
      <c r="E241">
        <v>15552.57</v>
      </c>
      <c r="F241" s="2">
        <v>0.40555555555555556</v>
      </c>
      <c r="G241">
        <v>15563.46</v>
      </c>
      <c r="H241">
        <v>15563.46</v>
      </c>
      <c r="I241">
        <v>15525.36</v>
      </c>
      <c r="J241" t="s">
        <v>15</v>
      </c>
      <c r="K241">
        <v>-10.89</v>
      </c>
      <c r="L241" s="9">
        <v>-1</v>
      </c>
      <c r="M241">
        <v>0</v>
      </c>
      <c r="N241">
        <f t="shared" si="6"/>
        <v>2</v>
      </c>
      <c r="O241">
        <f t="shared" si="7"/>
        <v>0</v>
      </c>
    </row>
    <row r="242" spans="1:15" x14ac:dyDescent="0.2">
      <c r="A242" s="1">
        <v>45128</v>
      </c>
      <c r="B242">
        <v>5</v>
      </c>
      <c r="C242" t="s">
        <v>13</v>
      </c>
      <c r="D242" s="2">
        <v>0.4375</v>
      </c>
      <c r="E242">
        <v>15448.85</v>
      </c>
      <c r="F242" s="2">
        <v>0.43819444444444444</v>
      </c>
      <c r="G242">
        <v>15459.67</v>
      </c>
      <c r="H242">
        <v>15459.67</v>
      </c>
      <c r="I242">
        <v>15421.82</v>
      </c>
      <c r="J242" t="s">
        <v>15</v>
      </c>
      <c r="K242">
        <v>-10.81</v>
      </c>
      <c r="L242" s="9">
        <v>-1</v>
      </c>
      <c r="M242">
        <v>0</v>
      </c>
      <c r="N242">
        <f t="shared" si="6"/>
        <v>3</v>
      </c>
      <c r="O242">
        <f t="shared" si="7"/>
        <v>0</v>
      </c>
    </row>
    <row r="243" spans="1:15" x14ac:dyDescent="0.2">
      <c r="A243" s="1">
        <v>45134</v>
      </c>
      <c r="B243">
        <v>4</v>
      </c>
      <c r="C243" t="s">
        <v>16</v>
      </c>
      <c r="D243" s="2">
        <v>0.40208333333333335</v>
      </c>
      <c r="E243">
        <v>15756.05</v>
      </c>
      <c r="F243" s="2">
        <v>0.40555555555555556</v>
      </c>
      <c r="G243">
        <v>15783.62</v>
      </c>
      <c r="H243">
        <v>15745.02</v>
      </c>
      <c r="I243">
        <v>15783.62</v>
      </c>
      <c r="J243" t="s">
        <v>14</v>
      </c>
      <c r="K243">
        <v>27.57</v>
      </c>
      <c r="L243" s="9">
        <v>2.5</v>
      </c>
      <c r="M243">
        <v>1</v>
      </c>
      <c r="N243">
        <f t="shared" si="6"/>
        <v>0</v>
      </c>
      <c r="O243">
        <f t="shared" si="7"/>
        <v>1</v>
      </c>
    </row>
    <row r="244" spans="1:15" x14ac:dyDescent="0.2">
      <c r="A244" s="1">
        <v>45134</v>
      </c>
      <c r="B244">
        <v>4</v>
      </c>
      <c r="C244" t="s">
        <v>13</v>
      </c>
      <c r="D244" s="2">
        <v>0.42569444444444443</v>
      </c>
      <c r="E244">
        <v>15736.03</v>
      </c>
      <c r="F244" s="2">
        <v>0.43402777777777779</v>
      </c>
      <c r="G244">
        <v>15708.49</v>
      </c>
      <c r="H244">
        <v>15747.04</v>
      </c>
      <c r="I244">
        <v>15708.49</v>
      </c>
      <c r="J244" t="s">
        <v>14</v>
      </c>
      <c r="K244">
        <v>27.54</v>
      </c>
      <c r="L244" s="9">
        <v>2.5</v>
      </c>
      <c r="M244">
        <v>1</v>
      </c>
      <c r="N244">
        <f t="shared" si="6"/>
        <v>0</v>
      </c>
      <c r="O244">
        <f t="shared" si="7"/>
        <v>2</v>
      </c>
    </row>
    <row r="245" spans="1:15" x14ac:dyDescent="0.2">
      <c r="A245" s="1">
        <v>45138</v>
      </c>
      <c r="B245">
        <v>1</v>
      </c>
      <c r="C245" t="s">
        <v>16</v>
      </c>
      <c r="D245" s="2">
        <v>0.40763888888888888</v>
      </c>
      <c r="E245">
        <v>15793.9</v>
      </c>
      <c r="F245" s="2">
        <v>0.40833333333333333</v>
      </c>
      <c r="G245">
        <v>15782.85</v>
      </c>
      <c r="H245">
        <v>15782.85</v>
      </c>
      <c r="I245">
        <v>15821.54</v>
      </c>
      <c r="J245" t="s">
        <v>15</v>
      </c>
      <c r="K245">
        <v>-11.06</v>
      </c>
      <c r="L245" s="9">
        <v>-1</v>
      </c>
      <c r="M245">
        <v>0</v>
      </c>
      <c r="N245">
        <f t="shared" si="6"/>
        <v>1</v>
      </c>
      <c r="O245">
        <f t="shared" si="7"/>
        <v>0</v>
      </c>
    </row>
    <row r="246" spans="1:15" x14ac:dyDescent="0.2">
      <c r="A246" s="1">
        <v>45138</v>
      </c>
      <c r="B246">
        <v>1</v>
      </c>
      <c r="C246" t="s">
        <v>16</v>
      </c>
      <c r="D246" s="2">
        <v>0.45624999999999999</v>
      </c>
      <c r="E246">
        <v>15767.43</v>
      </c>
      <c r="F246" s="2">
        <v>0.47361111111111109</v>
      </c>
      <c r="G246">
        <v>15756.39</v>
      </c>
      <c r="H246">
        <v>15756.39</v>
      </c>
      <c r="I246">
        <v>15795.02</v>
      </c>
      <c r="J246" t="s">
        <v>15</v>
      </c>
      <c r="K246">
        <v>-11.04</v>
      </c>
      <c r="L246" s="9">
        <v>-1</v>
      </c>
      <c r="M246">
        <v>0</v>
      </c>
      <c r="N246">
        <f t="shared" si="6"/>
        <v>2</v>
      </c>
      <c r="O246">
        <f t="shared" si="7"/>
        <v>0</v>
      </c>
    </row>
    <row r="247" spans="1:15" x14ac:dyDescent="0.2">
      <c r="A247" s="1">
        <v>45141</v>
      </c>
      <c r="B247">
        <v>4</v>
      </c>
      <c r="C247" t="s">
        <v>13</v>
      </c>
      <c r="D247" s="2">
        <v>0.39583333333333331</v>
      </c>
      <c r="E247">
        <v>15270.83</v>
      </c>
      <c r="F247" s="2">
        <v>0.39652777777777776</v>
      </c>
      <c r="G247">
        <v>15281.52</v>
      </c>
      <c r="H247">
        <v>15281.52</v>
      </c>
      <c r="I247">
        <v>15244.1</v>
      </c>
      <c r="J247" t="s">
        <v>15</v>
      </c>
      <c r="K247">
        <v>-10.69</v>
      </c>
      <c r="L247" s="9">
        <v>-1</v>
      </c>
      <c r="M247">
        <v>0</v>
      </c>
      <c r="N247">
        <f t="shared" si="6"/>
        <v>3</v>
      </c>
      <c r="O247">
        <f t="shared" si="7"/>
        <v>0</v>
      </c>
    </row>
    <row r="248" spans="1:15" x14ac:dyDescent="0.2">
      <c r="A248" s="1">
        <v>45141</v>
      </c>
      <c r="B248">
        <v>4</v>
      </c>
      <c r="C248" t="s">
        <v>16</v>
      </c>
      <c r="D248" s="2">
        <v>0.40347222222222223</v>
      </c>
      <c r="E248">
        <v>15310.89</v>
      </c>
      <c r="F248" s="2">
        <v>0.40763888888888888</v>
      </c>
      <c r="G248">
        <v>15337.68</v>
      </c>
      <c r="H248">
        <v>15300.17</v>
      </c>
      <c r="I248">
        <v>15337.68</v>
      </c>
      <c r="J248" t="s">
        <v>14</v>
      </c>
      <c r="K248">
        <v>26.79</v>
      </c>
      <c r="L248" s="9">
        <v>2.5</v>
      </c>
      <c r="M248">
        <v>1</v>
      </c>
      <c r="N248">
        <f t="shared" si="6"/>
        <v>0</v>
      </c>
      <c r="O248">
        <f t="shared" si="7"/>
        <v>1</v>
      </c>
    </row>
    <row r="249" spans="1:15" x14ac:dyDescent="0.2">
      <c r="A249" s="1">
        <v>45141</v>
      </c>
      <c r="B249">
        <v>4</v>
      </c>
      <c r="C249" t="s">
        <v>13</v>
      </c>
      <c r="D249" s="2">
        <v>0.43472222222222223</v>
      </c>
      <c r="E249">
        <v>15296.86</v>
      </c>
      <c r="F249" s="2">
        <v>0.43680555555555556</v>
      </c>
      <c r="G249">
        <v>15270.09</v>
      </c>
      <c r="H249">
        <v>15307.57</v>
      </c>
      <c r="I249">
        <v>15270.09</v>
      </c>
      <c r="J249" t="s">
        <v>14</v>
      </c>
      <c r="K249">
        <v>26.77</v>
      </c>
      <c r="L249" s="9">
        <v>2.5</v>
      </c>
      <c r="M249">
        <v>1</v>
      </c>
      <c r="N249">
        <f t="shared" si="6"/>
        <v>0</v>
      </c>
      <c r="O249">
        <f t="shared" si="7"/>
        <v>2</v>
      </c>
    </row>
    <row r="250" spans="1:15" x14ac:dyDescent="0.2">
      <c r="A250" s="1">
        <v>45142</v>
      </c>
      <c r="B250">
        <v>5</v>
      </c>
      <c r="C250" t="s">
        <v>16</v>
      </c>
      <c r="D250" s="2">
        <v>0.40208333333333335</v>
      </c>
      <c r="E250">
        <v>15481.88</v>
      </c>
      <c r="F250" s="2">
        <v>0.40347222222222223</v>
      </c>
      <c r="G250">
        <v>15471.04</v>
      </c>
      <c r="H250">
        <v>15471.04</v>
      </c>
      <c r="I250">
        <v>15508.97</v>
      </c>
      <c r="J250" t="s">
        <v>15</v>
      </c>
      <c r="K250">
        <v>-10.84</v>
      </c>
      <c r="L250" s="9">
        <v>-1</v>
      </c>
      <c r="M250">
        <v>0</v>
      </c>
      <c r="N250">
        <f t="shared" si="6"/>
        <v>1</v>
      </c>
      <c r="O250">
        <f t="shared" si="7"/>
        <v>0</v>
      </c>
    </row>
    <row r="251" spans="1:15" x14ac:dyDescent="0.2">
      <c r="A251" s="1">
        <v>45142</v>
      </c>
      <c r="B251">
        <v>5</v>
      </c>
      <c r="C251" t="s">
        <v>13</v>
      </c>
      <c r="D251" s="2">
        <v>0.41597222222222224</v>
      </c>
      <c r="E251">
        <v>15375.61</v>
      </c>
      <c r="F251" s="2">
        <v>0.41805555555555557</v>
      </c>
      <c r="G251">
        <v>15348.7</v>
      </c>
      <c r="H251">
        <v>15386.37</v>
      </c>
      <c r="I251">
        <v>15348.7</v>
      </c>
      <c r="J251" t="s">
        <v>14</v>
      </c>
      <c r="K251">
        <v>26.91</v>
      </c>
      <c r="L251" s="9">
        <v>2.5</v>
      </c>
      <c r="M251">
        <v>1</v>
      </c>
      <c r="N251">
        <f t="shared" si="6"/>
        <v>0</v>
      </c>
      <c r="O251">
        <f t="shared" si="7"/>
        <v>1</v>
      </c>
    </row>
    <row r="252" spans="1:15" x14ac:dyDescent="0.2">
      <c r="A252" s="1">
        <v>45142</v>
      </c>
      <c r="B252">
        <v>5</v>
      </c>
      <c r="C252" t="s">
        <v>16</v>
      </c>
      <c r="D252" s="2">
        <v>0.44374999999999998</v>
      </c>
      <c r="E252">
        <v>15421.72</v>
      </c>
      <c r="F252" s="2">
        <v>0.44444444444444442</v>
      </c>
      <c r="G252">
        <v>15410.93</v>
      </c>
      <c r="H252">
        <v>15410.93</v>
      </c>
      <c r="I252">
        <v>15448.71</v>
      </c>
      <c r="J252" t="s">
        <v>15</v>
      </c>
      <c r="K252">
        <v>-10.8</v>
      </c>
      <c r="L252" s="9">
        <v>-1</v>
      </c>
      <c r="M252">
        <v>0</v>
      </c>
      <c r="N252">
        <f t="shared" si="6"/>
        <v>1</v>
      </c>
      <c r="O252">
        <f t="shared" si="7"/>
        <v>0</v>
      </c>
    </row>
    <row r="253" spans="1:15" x14ac:dyDescent="0.2">
      <c r="A253" s="1">
        <v>45145</v>
      </c>
      <c r="B253">
        <v>1</v>
      </c>
      <c r="C253" t="s">
        <v>13</v>
      </c>
      <c r="D253" s="2">
        <v>0.40486111111111112</v>
      </c>
      <c r="E253">
        <v>15339.53</v>
      </c>
      <c r="F253" s="2">
        <v>0.40555555555555556</v>
      </c>
      <c r="G253">
        <v>15312.68</v>
      </c>
      <c r="H253">
        <v>15350.26</v>
      </c>
      <c r="I253">
        <v>15312.68</v>
      </c>
      <c r="J253" t="s">
        <v>14</v>
      </c>
      <c r="K253">
        <v>26.84</v>
      </c>
      <c r="L253" s="9">
        <v>2.5</v>
      </c>
      <c r="M253">
        <v>1</v>
      </c>
      <c r="N253">
        <f t="shared" si="6"/>
        <v>0</v>
      </c>
      <c r="O253">
        <f t="shared" si="7"/>
        <v>1</v>
      </c>
    </row>
    <row r="254" spans="1:15" x14ac:dyDescent="0.2">
      <c r="A254" s="1">
        <v>45145</v>
      </c>
      <c r="B254">
        <v>1</v>
      </c>
      <c r="C254" t="s">
        <v>13</v>
      </c>
      <c r="D254" s="2">
        <v>0.45555555555555555</v>
      </c>
      <c r="E254">
        <v>15318.67</v>
      </c>
      <c r="F254" s="2">
        <v>0.46250000000000002</v>
      </c>
      <c r="G254">
        <v>15291.86</v>
      </c>
      <c r="H254">
        <v>15329.39</v>
      </c>
      <c r="I254">
        <v>15291.86</v>
      </c>
      <c r="J254" t="s">
        <v>14</v>
      </c>
      <c r="K254">
        <v>26.81</v>
      </c>
      <c r="L254" s="9">
        <v>2.5</v>
      </c>
      <c r="M254">
        <v>1</v>
      </c>
      <c r="N254">
        <f t="shared" si="6"/>
        <v>0</v>
      </c>
      <c r="O254">
        <f t="shared" si="7"/>
        <v>2</v>
      </c>
    </row>
    <row r="255" spans="1:15" x14ac:dyDescent="0.2">
      <c r="A255" s="1">
        <v>45146</v>
      </c>
      <c r="B255">
        <v>2</v>
      </c>
      <c r="C255" t="s">
        <v>13</v>
      </c>
      <c r="D255" s="2">
        <v>0.41111111111111109</v>
      </c>
      <c r="E255">
        <v>15214.24</v>
      </c>
      <c r="F255" s="2">
        <v>0.4201388888888889</v>
      </c>
      <c r="G255">
        <v>15224.89</v>
      </c>
      <c r="H255">
        <v>15224.89</v>
      </c>
      <c r="I255">
        <v>15187.61</v>
      </c>
      <c r="J255" t="s">
        <v>15</v>
      </c>
      <c r="K255">
        <v>-10.65</v>
      </c>
      <c r="L255" s="9">
        <v>-1</v>
      </c>
      <c r="M255">
        <v>0</v>
      </c>
      <c r="N255">
        <f t="shared" si="6"/>
        <v>1</v>
      </c>
      <c r="O255">
        <f t="shared" si="7"/>
        <v>0</v>
      </c>
    </row>
    <row r="256" spans="1:15" x14ac:dyDescent="0.2">
      <c r="A256" s="1">
        <v>45147</v>
      </c>
      <c r="B256">
        <v>3</v>
      </c>
      <c r="C256" t="s">
        <v>13</v>
      </c>
      <c r="D256" s="2">
        <v>0.39791666666666664</v>
      </c>
      <c r="E256">
        <v>15277.5</v>
      </c>
      <c r="F256" s="2">
        <v>0.39861111111111114</v>
      </c>
      <c r="G256">
        <v>15288.2</v>
      </c>
      <c r="H256">
        <v>15288.2</v>
      </c>
      <c r="I256">
        <v>15250.77</v>
      </c>
      <c r="J256" t="s">
        <v>15</v>
      </c>
      <c r="K256">
        <v>-10.69</v>
      </c>
      <c r="L256" s="9">
        <v>-1</v>
      </c>
      <c r="M256">
        <v>0</v>
      </c>
      <c r="N256">
        <f t="shared" si="6"/>
        <v>2</v>
      </c>
      <c r="O256">
        <f t="shared" si="7"/>
        <v>0</v>
      </c>
    </row>
    <row r="257" spans="1:15" x14ac:dyDescent="0.2">
      <c r="A257" s="1">
        <v>45147</v>
      </c>
      <c r="B257">
        <v>3</v>
      </c>
      <c r="C257" t="s">
        <v>13</v>
      </c>
      <c r="D257" s="2">
        <v>0.4465277777777778</v>
      </c>
      <c r="E257">
        <v>15192.56</v>
      </c>
      <c r="F257" s="2">
        <v>0.45208333333333334</v>
      </c>
      <c r="G257">
        <v>15165.97</v>
      </c>
      <c r="H257">
        <v>15203.19</v>
      </c>
      <c r="I257">
        <v>15165.97</v>
      </c>
      <c r="J257" t="s">
        <v>14</v>
      </c>
      <c r="K257">
        <v>26.59</v>
      </c>
      <c r="L257" s="9">
        <v>2.5</v>
      </c>
      <c r="M257">
        <v>1</v>
      </c>
      <c r="N257">
        <f t="shared" si="6"/>
        <v>0</v>
      </c>
      <c r="O257">
        <f t="shared" si="7"/>
        <v>1</v>
      </c>
    </row>
    <row r="258" spans="1:15" x14ac:dyDescent="0.2">
      <c r="A258" s="1">
        <v>45148</v>
      </c>
      <c r="B258">
        <v>4</v>
      </c>
      <c r="C258" t="s">
        <v>16</v>
      </c>
      <c r="D258" s="2">
        <v>0.40972222222222221</v>
      </c>
      <c r="E258">
        <v>15297.28</v>
      </c>
      <c r="F258" s="2">
        <v>0.41319444444444442</v>
      </c>
      <c r="G258">
        <v>15324.05</v>
      </c>
      <c r="H258">
        <v>15286.57</v>
      </c>
      <c r="I258">
        <v>15324.05</v>
      </c>
      <c r="J258" t="s">
        <v>14</v>
      </c>
      <c r="K258">
        <v>26.77</v>
      </c>
      <c r="L258" s="9">
        <v>2.5</v>
      </c>
      <c r="M258">
        <v>1</v>
      </c>
      <c r="N258">
        <f t="shared" ref="N258:N321" si="8">IF(M258=0, IF(M257=0, N257+1, 1), 0)</f>
        <v>0</v>
      </c>
      <c r="O258">
        <f t="shared" ref="O258:O321" si="9">IF(M258=1, IF(M257=1, O257+1, 1), 0)</f>
        <v>2</v>
      </c>
    </row>
    <row r="259" spans="1:15" x14ac:dyDescent="0.2">
      <c r="A259" s="1">
        <v>45148</v>
      </c>
      <c r="B259">
        <v>4</v>
      </c>
      <c r="C259" t="s">
        <v>13</v>
      </c>
      <c r="D259" s="2">
        <v>0.4465277777777778</v>
      </c>
      <c r="E259">
        <v>15292.08</v>
      </c>
      <c r="F259" s="2">
        <v>0.44791666666666669</v>
      </c>
      <c r="G259">
        <v>15265.32</v>
      </c>
      <c r="H259">
        <v>15302.78</v>
      </c>
      <c r="I259">
        <v>15265.32</v>
      </c>
      <c r="J259" t="s">
        <v>14</v>
      </c>
      <c r="K259">
        <v>26.76</v>
      </c>
      <c r="L259" s="9">
        <v>2.5</v>
      </c>
      <c r="M259">
        <v>1</v>
      </c>
      <c r="N259">
        <f t="shared" si="8"/>
        <v>0</v>
      </c>
      <c r="O259">
        <f t="shared" si="9"/>
        <v>3</v>
      </c>
    </row>
    <row r="260" spans="1:15" x14ac:dyDescent="0.2">
      <c r="A260" s="1">
        <v>45149</v>
      </c>
      <c r="B260">
        <v>5</v>
      </c>
      <c r="C260" t="s">
        <v>16</v>
      </c>
      <c r="D260" s="2">
        <v>0.42916666666666664</v>
      </c>
      <c r="E260">
        <v>15068.18</v>
      </c>
      <c r="F260" s="2">
        <v>0.43055555555555558</v>
      </c>
      <c r="G260">
        <v>15094.55</v>
      </c>
      <c r="H260">
        <v>15057.63</v>
      </c>
      <c r="I260">
        <v>15094.55</v>
      </c>
      <c r="J260" t="s">
        <v>14</v>
      </c>
      <c r="K260">
        <v>26.37</v>
      </c>
      <c r="L260" s="9">
        <v>2.5</v>
      </c>
      <c r="M260">
        <v>1</v>
      </c>
      <c r="N260">
        <f t="shared" si="8"/>
        <v>0</v>
      </c>
      <c r="O260">
        <f t="shared" si="9"/>
        <v>4</v>
      </c>
    </row>
    <row r="261" spans="1:15" x14ac:dyDescent="0.2">
      <c r="A261" s="1">
        <v>45149</v>
      </c>
      <c r="B261">
        <v>5</v>
      </c>
      <c r="C261" t="s">
        <v>13</v>
      </c>
      <c r="D261" s="2">
        <v>0.4548611111111111</v>
      </c>
      <c r="E261">
        <v>15036.1</v>
      </c>
      <c r="F261" s="2">
        <v>0.46527777777777779</v>
      </c>
      <c r="G261">
        <v>15009.78</v>
      </c>
      <c r="H261">
        <v>15046.62</v>
      </c>
      <c r="I261">
        <v>15009.78</v>
      </c>
      <c r="J261" t="s">
        <v>14</v>
      </c>
      <c r="K261">
        <v>26.31</v>
      </c>
      <c r="L261" s="9">
        <v>2.5</v>
      </c>
      <c r="M261">
        <v>1</v>
      </c>
      <c r="N261">
        <f t="shared" si="8"/>
        <v>0</v>
      </c>
      <c r="O261">
        <f t="shared" si="9"/>
        <v>5</v>
      </c>
    </row>
    <row r="262" spans="1:15" x14ac:dyDescent="0.2">
      <c r="A262" s="1">
        <v>45152</v>
      </c>
      <c r="B262">
        <v>1</v>
      </c>
      <c r="C262" t="s">
        <v>16</v>
      </c>
      <c r="D262" s="2">
        <v>0.40763888888888888</v>
      </c>
      <c r="E262">
        <v>15034.4</v>
      </c>
      <c r="F262" s="2">
        <v>0.40833333333333333</v>
      </c>
      <c r="G262">
        <v>15023.88</v>
      </c>
      <c r="H262">
        <v>15023.88</v>
      </c>
      <c r="I262">
        <v>15060.72</v>
      </c>
      <c r="J262" t="s">
        <v>15</v>
      </c>
      <c r="K262">
        <v>-10.52</v>
      </c>
      <c r="L262" s="9">
        <v>-1</v>
      </c>
      <c r="M262">
        <v>0</v>
      </c>
      <c r="N262">
        <f t="shared" si="8"/>
        <v>1</v>
      </c>
      <c r="O262">
        <f t="shared" si="9"/>
        <v>0</v>
      </c>
    </row>
    <row r="263" spans="1:15" x14ac:dyDescent="0.2">
      <c r="A263" s="1">
        <v>45153</v>
      </c>
      <c r="B263">
        <v>2</v>
      </c>
      <c r="C263" t="s">
        <v>13</v>
      </c>
      <c r="D263" s="2">
        <v>0.40763888888888888</v>
      </c>
      <c r="E263">
        <v>15126.36</v>
      </c>
      <c r="F263" s="2">
        <v>0.40902777777777777</v>
      </c>
      <c r="G263">
        <v>15136.95</v>
      </c>
      <c r="H263">
        <v>15136.95</v>
      </c>
      <c r="I263">
        <v>15099.89</v>
      </c>
      <c r="J263" t="s">
        <v>15</v>
      </c>
      <c r="K263">
        <v>-10.59</v>
      </c>
      <c r="L263" s="9">
        <v>-1</v>
      </c>
      <c r="M263">
        <v>0</v>
      </c>
      <c r="N263">
        <f t="shared" si="8"/>
        <v>2</v>
      </c>
      <c r="O263">
        <f t="shared" si="9"/>
        <v>0</v>
      </c>
    </row>
    <row r="264" spans="1:15" x14ac:dyDescent="0.2">
      <c r="A264" s="1">
        <v>45153</v>
      </c>
      <c r="B264">
        <v>2</v>
      </c>
      <c r="C264" t="s">
        <v>13</v>
      </c>
      <c r="D264" s="2">
        <v>0.4152777777777778</v>
      </c>
      <c r="E264">
        <v>15123.72</v>
      </c>
      <c r="F264" s="2">
        <v>0.41736111111111113</v>
      </c>
      <c r="G264">
        <v>15097.25</v>
      </c>
      <c r="H264">
        <v>15134.3</v>
      </c>
      <c r="I264">
        <v>15097.25</v>
      </c>
      <c r="J264" t="s">
        <v>14</v>
      </c>
      <c r="K264">
        <v>26.47</v>
      </c>
      <c r="L264" s="9">
        <v>2.5</v>
      </c>
      <c r="M264">
        <v>1</v>
      </c>
      <c r="N264">
        <f t="shared" si="8"/>
        <v>0</v>
      </c>
      <c r="O264">
        <f t="shared" si="9"/>
        <v>1</v>
      </c>
    </row>
    <row r="265" spans="1:15" x14ac:dyDescent="0.2">
      <c r="A265" s="1">
        <v>45153</v>
      </c>
      <c r="B265">
        <v>2</v>
      </c>
      <c r="C265" t="s">
        <v>13</v>
      </c>
      <c r="D265" s="2">
        <v>0.43958333333333333</v>
      </c>
      <c r="E265">
        <v>15051.97</v>
      </c>
      <c r="F265" s="2">
        <v>0.44374999999999998</v>
      </c>
      <c r="G265">
        <v>15062.5</v>
      </c>
      <c r="H265">
        <v>15062.5</v>
      </c>
      <c r="I265">
        <v>15025.63</v>
      </c>
      <c r="J265" t="s">
        <v>15</v>
      </c>
      <c r="K265">
        <v>-10.54</v>
      </c>
      <c r="L265" s="9">
        <v>-1</v>
      </c>
      <c r="M265">
        <v>0</v>
      </c>
      <c r="N265">
        <f t="shared" si="8"/>
        <v>1</v>
      </c>
      <c r="O265">
        <f t="shared" si="9"/>
        <v>0</v>
      </c>
    </row>
    <row r="266" spans="1:15" x14ac:dyDescent="0.2">
      <c r="A266" s="1">
        <v>45154</v>
      </c>
      <c r="B266">
        <v>3</v>
      </c>
      <c r="C266" t="s">
        <v>13</v>
      </c>
      <c r="D266" s="2">
        <v>0.39930555555555558</v>
      </c>
      <c r="E266">
        <v>14995.11</v>
      </c>
      <c r="F266" s="2">
        <v>0.4</v>
      </c>
      <c r="G266">
        <v>15005.6</v>
      </c>
      <c r="H266">
        <v>15005.6</v>
      </c>
      <c r="I266">
        <v>14968.87</v>
      </c>
      <c r="J266" t="s">
        <v>15</v>
      </c>
      <c r="K266">
        <v>-10.5</v>
      </c>
      <c r="L266" s="9">
        <v>-1</v>
      </c>
      <c r="M266">
        <v>0</v>
      </c>
      <c r="N266">
        <f t="shared" si="8"/>
        <v>2</v>
      </c>
      <c r="O266">
        <f t="shared" si="9"/>
        <v>0</v>
      </c>
    </row>
    <row r="267" spans="1:15" x14ac:dyDescent="0.2">
      <c r="A267" s="1">
        <v>45154</v>
      </c>
      <c r="B267">
        <v>3</v>
      </c>
      <c r="C267" t="s">
        <v>16</v>
      </c>
      <c r="D267" s="2">
        <v>0.40972222222222221</v>
      </c>
      <c r="E267">
        <v>15050.28</v>
      </c>
      <c r="F267" s="2">
        <v>0.41041666666666665</v>
      </c>
      <c r="G267">
        <v>15039.75</v>
      </c>
      <c r="H267">
        <v>15039.75</v>
      </c>
      <c r="I267">
        <v>15076.62</v>
      </c>
      <c r="J267" t="s">
        <v>15</v>
      </c>
      <c r="K267">
        <v>-10.54</v>
      </c>
      <c r="L267" s="9">
        <v>-1</v>
      </c>
      <c r="M267">
        <v>0</v>
      </c>
      <c r="N267">
        <f t="shared" si="8"/>
        <v>3</v>
      </c>
      <c r="O267">
        <f t="shared" si="9"/>
        <v>0</v>
      </c>
    </row>
    <row r="268" spans="1:15" x14ac:dyDescent="0.2">
      <c r="A268" s="1">
        <v>45154</v>
      </c>
      <c r="B268">
        <v>3</v>
      </c>
      <c r="C268" t="s">
        <v>13</v>
      </c>
      <c r="D268" s="2">
        <v>0.41875000000000001</v>
      </c>
      <c r="E268">
        <v>15014.81</v>
      </c>
      <c r="F268" s="2">
        <v>0.4201388888888889</v>
      </c>
      <c r="G268">
        <v>15025.32</v>
      </c>
      <c r="H268">
        <v>15025.32</v>
      </c>
      <c r="I268">
        <v>14988.54</v>
      </c>
      <c r="J268" t="s">
        <v>15</v>
      </c>
      <c r="K268">
        <v>-10.51</v>
      </c>
      <c r="L268" s="9">
        <v>-1</v>
      </c>
      <c r="M268">
        <v>0</v>
      </c>
      <c r="N268">
        <f t="shared" si="8"/>
        <v>4</v>
      </c>
      <c r="O268">
        <f t="shared" si="9"/>
        <v>0</v>
      </c>
    </row>
    <row r="269" spans="1:15" x14ac:dyDescent="0.2">
      <c r="A269" s="1">
        <v>45155</v>
      </c>
      <c r="B269">
        <v>4</v>
      </c>
      <c r="C269" t="s">
        <v>13</v>
      </c>
      <c r="D269" s="2">
        <v>0.39930555555555558</v>
      </c>
      <c r="E269">
        <v>14907.72</v>
      </c>
      <c r="F269" s="2">
        <v>0.40625</v>
      </c>
      <c r="G269">
        <v>14881.63</v>
      </c>
      <c r="H269">
        <v>14918.15</v>
      </c>
      <c r="I269">
        <v>14881.63</v>
      </c>
      <c r="J269" t="s">
        <v>14</v>
      </c>
      <c r="K269">
        <v>26.09</v>
      </c>
      <c r="L269" s="9">
        <v>2.5</v>
      </c>
      <c r="M269">
        <v>1</v>
      </c>
      <c r="N269">
        <f t="shared" si="8"/>
        <v>0</v>
      </c>
      <c r="O269">
        <f t="shared" si="9"/>
        <v>1</v>
      </c>
    </row>
    <row r="270" spans="1:15" x14ac:dyDescent="0.2">
      <c r="A270" s="1">
        <v>45155</v>
      </c>
      <c r="B270">
        <v>4</v>
      </c>
      <c r="C270" t="s">
        <v>13</v>
      </c>
      <c r="D270" s="2">
        <v>0.42499999999999999</v>
      </c>
      <c r="E270">
        <v>14850.3</v>
      </c>
      <c r="F270" s="2">
        <v>0.42777777777777776</v>
      </c>
      <c r="G270">
        <v>14860.69</v>
      </c>
      <c r="H270">
        <v>14860.69</v>
      </c>
      <c r="I270">
        <v>14824.31</v>
      </c>
      <c r="J270" t="s">
        <v>15</v>
      </c>
      <c r="K270">
        <v>-10.4</v>
      </c>
      <c r="L270" s="9">
        <v>-1</v>
      </c>
      <c r="M270">
        <v>0</v>
      </c>
      <c r="N270">
        <f t="shared" si="8"/>
        <v>1</v>
      </c>
      <c r="O270">
        <f t="shared" si="9"/>
        <v>0</v>
      </c>
    </row>
    <row r="271" spans="1:15" x14ac:dyDescent="0.2">
      <c r="A271" s="1">
        <v>45155</v>
      </c>
      <c r="B271">
        <v>4</v>
      </c>
      <c r="C271" t="s">
        <v>13</v>
      </c>
      <c r="D271" s="2">
        <v>0.43611111111111112</v>
      </c>
      <c r="E271">
        <v>14830.39</v>
      </c>
      <c r="F271" s="2">
        <v>0.4375</v>
      </c>
      <c r="G271">
        <v>14840.77</v>
      </c>
      <c r="H271">
        <v>14840.77</v>
      </c>
      <c r="I271">
        <v>14804.44</v>
      </c>
      <c r="J271" t="s">
        <v>15</v>
      </c>
      <c r="K271">
        <v>-10.38</v>
      </c>
      <c r="L271" s="9">
        <v>-1</v>
      </c>
      <c r="M271">
        <v>0</v>
      </c>
      <c r="N271">
        <f t="shared" si="8"/>
        <v>2</v>
      </c>
      <c r="O271">
        <f t="shared" si="9"/>
        <v>0</v>
      </c>
    </row>
    <row r="272" spans="1:15" x14ac:dyDescent="0.2">
      <c r="A272" s="1">
        <v>45156</v>
      </c>
      <c r="B272">
        <v>5</v>
      </c>
      <c r="C272" t="s">
        <v>16</v>
      </c>
      <c r="D272" s="2">
        <v>0.41111111111111109</v>
      </c>
      <c r="E272">
        <v>14617.24</v>
      </c>
      <c r="F272" s="2">
        <v>0.41180555555555554</v>
      </c>
      <c r="G272">
        <v>14607.01</v>
      </c>
      <c r="H272">
        <v>14607.01</v>
      </c>
      <c r="I272">
        <v>14642.82</v>
      </c>
      <c r="J272" t="s">
        <v>15</v>
      </c>
      <c r="K272">
        <v>-10.23</v>
      </c>
      <c r="L272" s="9">
        <v>-1</v>
      </c>
      <c r="M272">
        <v>0</v>
      </c>
      <c r="N272">
        <f t="shared" si="8"/>
        <v>3</v>
      </c>
      <c r="O272">
        <f t="shared" si="9"/>
        <v>0</v>
      </c>
    </row>
    <row r="273" spans="1:15" x14ac:dyDescent="0.2">
      <c r="A273" s="1">
        <v>45156</v>
      </c>
      <c r="B273">
        <v>5</v>
      </c>
      <c r="C273" t="s">
        <v>16</v>
      </c>
      <c r="D273" s="2">
        <v>0.44513888888888886</v>
      </c>
      <c r="E273">
        <v>14630.55</v>
      </c>
      <c r="F273" s="2">
        <v>0.44861111111111113</v>
      </c>
      <c r="G273">
        <v>14620.31</v>
      </c>
      <c r="H273">
        <v>14620.31</v>
      </c>
      <c r="I273">
        <v>14656.16</v>
      </c>
      <c r="J273" t="s">
        <v>15</v>
      </c>
      <c r="K273">
        <v>-10.24</v>
      </c>
      <c r="L273" s="9">
        <v>-1</v>
      </c>
      <c r="M273">
        <v>0</v>
      </c>
      <c r="N273">
        <f t="shared" si="8"/>
        <v>4</v>
      </c>
      <c r="O273">
        <f t="shared" si="9"/>
        <v>0</v>
      </c>
    </row>
    <row r="274" spans="1:15" x14ac:dyDescent="0.2">
      <c r="A274" s="1">
        <v>45159</v>
      </c>
      <c r="B274">
        <v>1</v>
      </c>
      <c r="C274" t="s">
        <v>16</v>
      </c>
      <c r="D274" s="2">
        <v>0.40347222222222223</v>
      </c>
      <c r="E274">
        <v>14814.89</v>
      </c>
      <c r="F274" s="2">
        <v>0.40625</v>
      </c>
      <c r="G274">
        <v>14804.52</v>
      </c>
      <c r="H274">
        <v>14804.52</v>
      </c>
      <c r="I274">
        <v>14840.82</v>
      </c>
      <c r="J274" t="s">
        <v>15</v>
      </c>
      <c r="K274">
        <v>-10.37</v>
      </c>
      <c r="L274" s="9">
        <v>-1</v>
      </c>
      <c r="M274">
        <v>0</v>
      </c>
      <c r="N274">
        <f t="shared" si="8"/>
        <v>5</v>
      </c>
      <c r="O274">
        <f t="shared" si="9"/>
        <v>0</v>
      </c>
    </row>
    <row r="275" spans="1:15" x14ac:dyDescent="0.2">
      <c r="A275" s="1">
        <v>45159</v>
      </c>
      <c r="B275">
        <v>1</v>
      </c>
      <c r="C275" t="s">
        <v>13</v>
      </c>
      <c r="D275" s="2">
        <v>0.4375</v>
      </c>
      <c r="E275">
        <v>14785.47</v>
      </c>
      <c r="F275" s="2">
        <v>0.44097222222222221</v>
      </c>
      <c r="G275">
        <v>14795.82</v>
      </c>
      <c r="H275">
        <v>14795.82</v>
      </c>
      <c r="I275">
        <v>14759.6</v>
      </c>
      <c r="J275" t="s">
        <v>15</v>
      </c>
      <c r="K275">
        <v>-10.35</v>
      </c>
      <c r="L275" s="9">
        <v>-1</v>
      </c>
      <c r="M275">
        <v>0</v>
      </c>
      <c r="N275">
        <f t="shared" si="8"/>
        <v>6</v>
      </c>
      <c r="O275">
        <f t="shared" si="9"/>
        <v>0</v>
      </c>
    </row>
    <row r="276" spans="1:15" x14ac:dyDescent="0.2">
      <c r="A276" s="1">
        <v>45159</v>
      </c>
      <c r="B276">
        <v>1</v>
      </c>
      <c r="C276" t="s">
        <v>13</v>
      </c>
      <c r="D276" s="2">
        <v>0.45624999999999999</v>
      </c>
      <c r="E276">
        <v>14788.24</v>
      </c>
      <c r="F276" s="2">
        <v>0.4597222222222222</v>
      </c>
      <c r="G276">
        <v>14798.59</v>
      </c>
      <c r="H276">
        <v>14798.59</v>
      </c>
      <c r="I276">
        <v>14762.36</v>
      </c>
      <c r="J276" t="s">
        <v>15</v>
      </c>
      <c r="K276">
        <v>-10.35</v>
      </c>
      <c r="L276" s="9">
        <v>-1</v>
      </c>
      <c r="M276">
        <v>0</v>
      </c>
      <c r="N276">
        <f t="shared" si="8"/>
        <v>7</v>
      </c>
      <c r="O276">
        <f t="shared" si="9"/>
        <v>0</v>
      </c>
    </row>
    <row r="277" spans="1:15" x14ac:dyDescent="0.2">
      <c r="A277" s="1">
        <v>45160</v>
      </c>
      <c r="B277">
        <v>2</v>
      </c>
      <c r="C277" t="s">
        <v>13</v>
      </c>
      <c r="D277" s="2">
        <v>0.40486111111111112</v>
      </c>
      <c r="E277">
        <v>14981.72</v>
      </c>
      <c r="F277" s="2">
        <v>0.40555555555555556</v>
      </c>
      <c r="G277">
        <v>14992.21</v>
      </c>
      <c r="H277">
        <v>14992.21</v>
      </c>
      <c r="I277">
        <v>14955.5</v>
      </c>
      <c r="J277" t="s">
        <v>15</v>
      </c>
      <c r="K277">
        <v>-10.49</v>
      </c>
      <c r="L277" s="9">
        <v>-1</v>
      </c>
      <c r="M277">
        <v>0</v>
      </c>
      <c r="N277">
        <f t="shared" si="8"/>
        <v>8</v>
      </c>
      <c r="O277">
        <f t="shared" si="9"/>
        <v>0</v>
      </c>
    </row>
    <row r="278" spans="1:15" x14ac:dyDescent="0.2">
      <c r="A278" s="1">
        <v>45160</v>
      </c>
      <c r="B278">
        <v>2</v>
      </c>
      <c r="C278" t="s">
        <v>13</v>
      </c>
      <c r="D278" s="2">
        <v>0.44166666666666665</v>
      </c>
      <c r="E278">
        <v>14931.27</v>
      </c>
      <c r="F278" s="2">
        <v>0.44236111111111109</v>
      </c>
      <c r="G278">
        <v>14941.72</v>
      </c>
      <c r="H278">
        <v>14941.72</v>
      </c>
      <c r="I278">
        <v>14905.14</v>
      </c>
      <c r="J278" t="s">
        <v>15</v>
      </c>
      <c r="K278">
        <v>-10.45</v>
      </c>
      <c r="L278" s="9">
        <v>-1</v>
      </c>
      <c r="M278">
        <v>0</v>
      </c>
      <c r="N278">
        <f t="shared" si="8"/>
        <v>9</v>
      </c>
      <c r="O278">
        <f t="shared" si="9"/>
        <v>0</v>
      </c>
    </row>
    <row r="279" spans="1:15" x14ac:dyDescent="0.2">
      <c r="A279" s="1">
        <v>45162</v>
      </c>
      <c r="B279">
        <v>4</v>
      </c>
      <c r="C279" t="s">
        <v>13</v>
      </c>
      <c r="D279" s="2">
        <v>0.40277777777777779</v>
      </c>
      <c r="E279">
        <v>15197.41</v>
      </c>
      <c r="F279" s="2">
        <v>0.40416666666666667</v>
      </c>
      <c r="G279">
        <v>15170.82</v>
      </c>
      <c r="H279">
        <v>15208.05</v>
      </c>
      <c r="I279">
        <v>15170.82</v>
      </c>
      <c r="J279" t="s">
        <v>14</v>
      </c>
      <c r="K279">
        <v>26.6</v>
      </c>
      <c r="L279" s="9">
        <v>2.5</v>
      </c>
      <c r="M279">
        <v>1</v>
      </c>
      <c r="N279">
        <f t="shared" si="8"/>
        <v>0</v>
      </c>
      <c r="O279">
        <f t="shared" si="9"/>
        <v>1</v>
      </c>
    </row>
    <row r="280" spans="1:15" x14ac:dyDescent="0.2">
      <c r="A280" s="1">
        <v>45162</v>
      </c>
      <c r="B280">
        <v>4</v>
      </c>
      <c r="C280" t="s">
        <v>13</v>
      </c>
      <c r="D280" s="2">
        <v>0.42569444444444443</v>
      </c>
      <c r="E280">
        <v>15111.56</v>
      </c>
      <c r="F280" s="2">
        <v>0.42708333333333331</v>
      </c>
      <c r="G280">
        <v>15085.11</v>
      </c>
      <c r="H280">
        <v>15122.13</v>
      </c>
      <c r="I280">
        <v>15085.11</v>
      </c>
      <c r="J280" t="s">
        <v>14</v>
      </c>
      <c r="K280">
        <v>26.45</v>
      </c>
      <c r="L280" s="9">
        <v>2.5</v>
      </c>
      <c r="M280">
        <v>1</v>
      </c>
      <c r="N280">
        <f t="shared" si="8"/>
        <v>0</v>
      </c>
      <c r="O280">
        <f t="shared" si="9"/>
        <v>2</v>
      </c>
    </row>
    <row r="281" spans="1:15" x14ac:dyDescent="0.2">
      <c r="A281" s="1">
        <v>45166</v>
      </c>
      <c r="B281">
        <v>1</v>
      </c>
      <c r="C281" t="s">
        <v>13</v>
      </c>
      <c r="D281" s="2">
        <v>0.41249999999999998</v>
      </c>
      <c r="E281">
        <v>14992.57</v>
      </c>
      <c r="F281" s="2">
        <v>0.41319444444444442</v>
      </c>
      <c r="G281">
        <v>15003.07</v>
      </c>
      <c r="H281">
        <v>15003.07</v>
      </c>
      <c r="I281">
        <v>14966.34</v>
      </c>
      <c r="J281" t="s">
        <v>15</v>
      </c>
      <c r="K281">
        <v>-10.49</v>
      </c>
      <c r="L281" s="9">
        <v>-1</v>
      </c>
      <c r="M281">
        <v>0</v>
      </c>
      <c r="N281">
        <f t="shared" si="8"/>
        <v>1</v>
      </c>
      <c r="O281">
        <f t="shared" si="9"/>
        <v>0</v>
      </c>
    </row>
    <row r="282" spans="1:15" x14ac:dyDescent="0.2">
      <c r="A282" s="1">
        <v>45166</v>
      </c>
      <c r="B282">
        <v>1</v>
      </c>
      <c r="C282" t="s">
        <v>16</v>
      </c>
      <c r="D282" s="2">
        <v>0.4375</v>
      </c>
      <c r="E282">
        <v>15047.77</v>
      </c>
      <c r="F282" s="2">
        <v>0.44305555555555554</v>
      </c>
      <c r="G282">
        <v>15037.23</v>
      </c>
      <c r="H282">
        <v>15037.23</v>
      </c>
      <c r="I282">
        <v>15074.1</v>
      </c>
      <c r="J282" t="s">
        <v>15</v>
      </c>
      <c r="K282">
        <v>-10.53</v>
      </c>
      <c r="L282" s="9">
        <v>-1</v>
      </c>
      <c r="M282">
        <v>0</v>
      </c>
      <c r="N282">
        <f t="shared" si="8"/>
        <v>2</v>
      </c>
      <c r="O282">
        <f t="shared" si="9"/>
        <v>0</v>
      </c>
    </row>
    <row r="283" spans="1:15" x14ac:dyDescent="0.2">
      <c r="A283" s="1">
        <v>45166</v>
      </c>
      <c r="B283">
        <v>1</v>
      </c>
      <c r="C283" t="s">
        <v>13</v>
      </c>
      <c r="D283" s="2">
        <v>0.45347222222222222</v>
      </c>
      <c r="E283">
        <v>14984.15</v>
      </c>
      <c r="F283" s="2">
        <v>0.45833333333333331</v>
      </c>
      <c r="G283">
        <v>14994.64</v>
      </c>
      <c r="H283">
        <v>14994.64</v>
      </c>
      <c r="I283">
        <v>14957.93</v>
      </c>
      <c r="J283" t="s">
        <v>15</v>
      </c>
      <c r="K283">
        <v>-10.49</v>
      </c>
      <c r="L283" s="9">
        <v>-1</v>
      </c>
      <c r="M283">
        <v>0</v>
      </c>
      <c r="N283">
        <f t="shared" si="8"/>
        <v>3</v>
      </c>
      <c r="O283">
        <f t="shared" si="9"/>
        <v>0</v>
      </c>
    </row>
    <row r="284" spans="1:15" x14ac:dyDescent="0.2">
      <c r="A284" s="1">
        <v>45168</v>
      </c>
      <c r="B284">
        <v>3</v>
      </c>
      <c r="C284" t="s">
        <v>16</v>
      </c>
      <c r="D284" s="2">
        <v>0.41597222222222224</v>
      </c>
      <c r="E284">
        <v>15422.72</v>
      </c>
      <c r="F284" s="2">
        <v>0.4236111111111111</v>
      </c>
      <c r="G284">
        <v>15449.71</v>
      </c>
      <c r="H284">
        <v>15411.92</v>
      </c>
      <c r="I284">
        <v>15449.71</v>
      </c>
      <c r="J284" t="s">
        <v>14</v>
      </c>
      <c r="K284">
        <v>26.99</v>
      </c>
      <c r="L284" s="9">
        <v>2.5</v>
      </c>
      <c r="M284">
        <v>1</v>
      </c>
      <c r="N284">
        <f t="shared" si="8"/>
        <v>0</v>
      </c>
      <c r="O284">
        <f t="shared" si="9"/>
        <v>1</v>
      </c>
    </row>
    <row r="285" spans="1:15" x14ac:dyDescent="0.2">
      <c r="A285" s="1">
        <v>45169</v>
      </c>
      <c r="B285">
        <v>4</v>
      </c>
      <c r="C285" t="s">
        <v>16</v>
      </c>
      <c r="D285" s="2">
        <v>0.41388888888888886</v>
      </c>
      <c r="E285">
        <v>15504.07</v>
      </c>
      <c r="F285" s="2">
        <v>0.41666666666666669</v>
      </c>
      <c r="G285">
        <v>15531.2</v>
      </c>
      <c r="H285">
        <v>15493.21</v>
      </c>
      <c r="I285">
        <v>15531.2</v>
      </c>
      <c r="J285" t="s">
        <v>14</v>
      </c>
      <c r="K285">
        <v>27.13</v>
      </c>
      <c r="L285" s="9">
        <v>2.5</v>
      </c>
      <c r="M285">
        <v>1</v>
      </c>
      <c r="N285">
        <f t="shared" si="8"/>
        <v>0</v>
      </c>
      <c r="O285">
        <f t="shared" si="9"/>
        <v>2</v>
      </c>
    </row>
    <row r="286" spans="1:15" x14ac:dyDescent="0.2">
      <c r="A286" s="1">
        <v>45173</v>
      </c>
      <c r="B286">
        <v>1</v>
      </c>
      <c r="C286" t="s">
        <v>16</v>
      </c>
      <c r="D286" s="2">
        <v>0.39583333333333331</v>
      </c>
      <c r="E286">
        <v>15530.66</v>
      </c>
      <c r="F286" s="2">
        <v>0.43819444444444444</v>
      </c>
      <c r="G286">
        <v>15519.79</v>
      </c>
      <c r="H286">
        <v>15519.79</v>
      </c>
      <c r="I286">
        <v>15557.84</v>
      </c>
      <c r="J286" t="s">
        <v>15</v>
      </c>
      <c r="K286">
        <v>-10.87</v>
      </c>
      <c r="L286" s="9">
        <v>-1</v>
      </c>
      <c r="M286">
        <v>0</v>
      </c>
      <c r="N286">
        <f t="shared" si="8"/>
        <v>1</v>
      </c>
      <c r="O286">
        <f t="shared" si="9"/>
        <v>0</v>
      </c>
    </row>
    <row r="287" spans="1:15" x14ac:dyDescent="0.2">
      <c r="A287" s="1">
        <v>45173</v>
      </c>
      <c r="B287">
        <v>1</v>
      </c>
      <c r="C287" t="s">
        <v>13</v>
      </c>
      <c r="D287" s="2">
        <v>0.44097222222222221</v>
      </c>
      <c r="E287">
        <v>15518.27</v>
      </c>
      <c r="F287" s="2">
        <v>0.46319444444444446</v>
      </c>
      <c r="G287">
        <v>15491.11</v>
      </c>
      <c r="H287">
        <v>15529.13</v>
      </c>
      <c r="I287">
        <v>15491.11</v>
      </c>
      <c r="J287" t="s">
        <v>14</v>
      </c>
      <c r="K287">
        <v>27.16</v>
      </c>
      <c r="L287" s="9">
        <v>2.5</v>
      </c>
      <c r="M287">
        <v>1</v>
      </c>
      <c r="N287">
        <f t="shared" si="8"/>
        <v>0</v>
      </c>
      <c r="O287">
        <f t="shared" si="9"/>
        <v>1</v>
      </c>
    </row>
    <row r="288" spans="1:15" x14ac:dyDescent="0.2">
      <c r="A288" s="1">
        <v>45174</v>
      </c>
      <c r="B288">
        <v>2</v>
      </c>
      <c r="C288" t="s">
        <v>16</v>
      </c>
      <c r="D288" s="2">
        <v>0.40416666666666667</v>
      </c>
      <c r="E288">
        <v>15464.67</v>
      </c>
      <c r="F288" s="2">
        <v>0.40555555555555556</v>
      </c>
      <c r="G288">
        <v>15453.85</v>
      </c>
      <c r="H288">
        <v>15453.85</v>
      </c>
      <c r="I288">
        <v>15491.74</v>
      </c>
      <c r="J288" t="s">
        <v>15</v>
      </c>
      <c r="K288">
        <v>-10.83</v>
      </c>
      <c r="L288" s="9">
        <v>-1</v>
      </c>
      <c r="M288">
        <v>0</v>
      </c>
      <c r="N288">
        <f t="shared" si="8"/>
        <v>1</v>
      </c>
      <c r="O288">
        <f t="shared" si="9"/>
        <v>0</v>
      </c>
    </row>
    <row r="289" spans="1:15" x14ac:dyDescent="0.2">
      <c r="A289" s="1">
        <v>45174</v>
      </c>
      <c r="B289">
        <v>2</v>
      </c>
      <c r="C289" t="s">
        <v>16</v>
      </c>
      <c r="D289" s="2">
        <v>0.43472222222222223</v>
      </c>
      <c r="E289">
        <v>15476.38</v>
      </c>
      <c r="F289" s="2">
        <v>0.43541666666666667</v>
      </c>
      <c r="G289">
        <v>15465.55</v>
      </c>
      <c r="H289">
        <v>15465.55</v>
      </c>
      <c r="I289">
        <v>15503.46</v>
      </c>
      <c r="J289" t="s">
        <v>15</v>
      </c>
      <c r="K289">
        <v>-10.83</v>
      </c>
      <c r="L289" s="9">
        <v>-1</v>
      </c>
      <c r="M289">
        <v>0</v>
      </c>
      <c r="N289">
        <f t="shared" si="8"/>
        <v>2</v>
      </c>
      <c r="O289">
        <f t="shared" si="9"/>
        <v>0</v>
      </c>
    </row>
    <row r="290" spans="1:15" x14ac:dyDescent="0.2">
      <c r="A290" s="1">
        <v>45174</v>
      </c>
      <c r="B290">
        <v>2</v>
      </c>
      <c r="C290" t="s">
        <v>16</v>
      </c>
      <c r="D290" s="2">
        <v>0.4548611111111111</v>
      </c>
      <c r="E290">
        <v>15498.91</v>
      </c>
      <c r="F290" s="2">
        <v>0.46111111111111114</v>
      </c>
      <c r="G290">
        <v>15526.03</v>
      </c>
      <c r="H290">
        <v>15488.06</v>
      </c>
      <c r="I290">
        <v>15526.03</v>
      </c>
      <c r="J290" t="s">
        <v>14</v>
      </c>
      <c r="K290">
        <v>27.12</v>
      </c>
      <c r="L290" s="9">
        <v>2.5</v>
      </c>
      <c r="M290">
        <v>1</v>
      </c>
      <c r="N290">
        <f t="shared" si="8"/>
        <v>0</v>
      </c>
      <c r="O290">
        <f t="shared" si="9"/>
        <v>1</v>
      </c>
    </row>
    <row r="291" spans="1:15" x14ac:dyDescent="0.2">
      <c r="A291" s="1">
        <v>45175</v>
      </c>
      <c r="B291">
        <v>3</v>
      </c>
      <c r="C291" t="s">
        <v>13</v>
      </c>
      <c r="D291" s="2">
        <v>0.42222222222222222</v>
      </c>
      <c r="E291">
        <v>15389.58</v>
      </c>
      <c r="F291" s="2">
        <v>0.42569444444444443</v>
      </c>
      <c r="G291">
        <v>15362.65</v>
      </c>
      <c r="H291">
        <v>15400.35</v>
      </c>
      <c r="I291">
        <v>15362.65</v>
      </c>
      <c r="J291" t="s">
        <v>14</v>
      </c>
      <c r="K291">
        <v>26.93</v>
      </c>
      <c r="L291" s="9">
        <v>2.5</v>
      </c>
      <c r="M291">
        <v>1</v>
      </c>
      <c r="N291">
        <f t="shared" si="8"/>
        <v>0</v>
      </c>
      <c r="O291">
        <f t="shared" si="9"/>
        <v>2</v>
      </c>
    </row>
    <row r="292" spans="1:15" x14ac:dyDescent="0.2">
      <c r="A292" s="1">
        <v>45175</v>
      </c>
      <c r="B292">
        <v>3</v>
      </c>
      <c r="C292" t="s">
        <v>13</v>
      </c>
      <c r="D292" s="2">
        <v>0.45416666666666666</v>
      </c>
      <c r="E292">
        <v>15370.36</v>
      </c>
      <c r="F292" s="2">
        <v>0.4548611111111111</v>
      </c>
      <c r="G292">
        <v>15381.12</v>
      </c>
      <c r="H292">
        <v>15381.12</v>
      </c>
      <c r="I292">
        <v>15343.46</v>
      </c>
      <c r="J292" t="s">
        <v>15</v>
      </c>
      <c r="K292">
        <v>-10.76</v>
      </c>
      <c r="L292" s="9">
        <v>-1</v>
      </c>
      <c r="M292">
        <v>0</v>
      </c>
      <c r="N292">
        <f t="shared" si="8"/>
        <v>1</v>
      </c>
      <c r="O292">
        <f t="shared" si="9"/>
        <v>0</v>
      </c>
    </row>
    <row r="293" spans="1:15" x14ac:dyDescent="0.2">
      <c r="A293" s="1">
        <v>45176</v>
      </c>
      <c r="B293">
        <v>4</v>
      </c>
      <c r="C293" t="s">
        <v>13</v>
      </c>
      <c r="D293" s="2">
        <v>0.42152777777777778</v>
      </c>
      <c r="E293">
        <v>15158.47</v>
      </c>
      <c r="F293" s="2">
        <v>0.42222222222222222</v>
      </c>
      <c r="G293">
        <v>15169.08</v>
      </c>
      <c r="H293">
        <v>15169.08</v>
      </c>
      <c r="I293">
        <v>15131.94</v>
      </c>
      <c r="J293" t="s">
        <v>15</v>
      </c>
      <c r="K293">
        <v>-10.61</v>
      </c>
      <c r="L293" s="9">
        <v>-1</v>
      </c>
      <c r="M293">
        <v>0</v>
      </c>
      <c r="N293">
        <f t="shared" si="8"/>
        <v>2</v>
      </c>
      <c r="O293">
        <f t="shared" si="9"/>
        <v>0</v>
      </c>
    </row>
    <row r="294" spans="1:15" x14ac:dyDescent="0.2">
      <c r="A294" s="1">
        <v>45176</v>
      </c>
      <c r="B294">
        <v>4</v>
      </c>
      <c r="C294" t="s">
        <v>16</v>
      </c>
      <c r="D294" s="2">
        <v>0.45</v>
      </c>
      <c r="E294">
        <v>15252.1</v>
      </c>
      <c r="F294" s="2">
        <v>0.4513888888888889</v>
      </c>
      <c r="G294">
        <v>15241.42</v>
      </c>
      <c r="H294">
        <v>15241.42</v>
      </c>
      <c r="I294">
        <v>15278.79</v>
      </c>
      <c r="J294" t="s">
        <v>15</v>
      </c>
      <c r="K294">
        <v>-10.68</v>
      </c>
      <c r="L294" s="9">
        <v>-1</v>
      </c>
      <c r="M294">
        <v>0</v>
      </c>
      <c r="N294">
        <f t="shared" si="8"/>
        <v>3</v>
      </c>
      <c r="O294">
        <f t="shared" si="9"/>
        <v>0</v>
      </c>
    </row>
    <row r="295" spans="1:15" x14ac:dyDescent="0.2">
      <c r="A295" s="1">
        <v>45177</v>
      </c>
      <c r="B295">
        <v>5</v>
      </c>
      <c r="C295" t="s">
        <v>16</v>
      </c>
      <c r="D295" s="2">
        <v>0.40277777777777779</v>
      </c>
      <c r="E295">
        <v>15327.72</v>
      </c>
      <c r="F295" s="2">
        <v>0.41041666666666665</v>
      </c>
      <c r="G295">
        <v>15354.54</v>
      </c>
      <c r="H295">
        <v>15316.99</v>
      </c>
      <c r="I295">
        <v>15354.54</v>
      </c>
      <c r="J295" t="s">
        <v>14</v>
      </c>
      <c r="K295">
        <v>26.82</v>
      </c>
      <c r="L295" s="9">
        <v>2.5</v>
      </c>
      <c r="M295">
        <v>1</v>
      </c>
      <c r="N295">
        <f t="shared" si="8"/>
        <v>0</v>
      </c>
      <c r="O295">
        <f t="shared" si="9"/>
        <v>1</v>
      </c>
    </row>
    <row r="296" spans="1:15" x14ac:dyDescent="0.2">
      <c r="A296" s="1">
        <v>45177</v>
      </c>
      <c r="B296">
        <v>5</v>
      </c>
      <c r="C296" t="s">
        <v>16</v>
      </c>
      <c r="D296" s="2">
        <v>0.42777777777777776</v>
      </c>
      <c r="E296">
        <v>15353.14</v>
      </c>
      <c r="F296" s="2">
        <v>0.43958333333333333</v>
      </c>
      <c r="G296">
        <v>15342.39</v>
      </c>
      <c r="H296">
        <v>15342.39</v>
      </c>
      <c r="I296">
        <v>15380</v>
      </c>
      <c r="J296" t="s">
        <v>15</v>
      </c>
      <c r="K296">
        <v>-10.75</v>
      </c>
      <c r="L296" s="9">
        <v>-1</v>
      </c>
      <c r="M296">
        <v>0</v>
      </c>
      <c r="N296">
        <f t="shared" si="8"/>
        <v>1</v>
      </c>
      <c r="O296">
        <f t="shared" si="9"/>
        <v>0</v>
      </c>
    </row>
    <row r="297" spans="1:15" x14ac:dyDescent="0.2">
      <c r="A297" s="1">
        <v>45177</v>
      </c>
      <c r="B297">
        <v>5</v>
      </c>
      <c r="C297" t="s">
        <v>13</v>
      </c>
      <c r="D297" s="2">
        <v>0.44722222222222224</v>
      </c>
      <c r="E297">
        <v>15326.25</v>
      </c>
      <c r="F297" s="2">
        <v>0.45694444444444443</v>
      </c>
      <c r="G297">
        <v>15299.42</v>
      </c>
      <c r="H297">
        <v>15336.97</v>
      </c>
      <c r="I297">
        <v>15299.42</v>
      </c>
      <c r="J297" t="s">
        <v>14</v>
      </c>
      <c r="K297">
        <v>26.82</v>
      </c>
      <c r="L297" s="9">
        <v>2.5</v>
      </c>
      <c r="M297">
        <v>1</v>
      </c>
      <c r="N297">
        <f t="shared" si="8"/>
        <v>0</v>
      </c>
      <c r="O297">
        <f t="shared" si="9"/>
        <v>1</v>
      </c>
    </row>
    <row r="298" spans="1:15" x14ac:dyDescent="0.2">
      <c r="A298" s="1">
        <v>45180</v>
      </c>
      <c r="B298">
        <v>1</v>
      </c>
      <c r="C298" t="s">
        <v>13</v>
      </c>
      <c r="D298" s="2">
        <v>0.40555555555555556</v>
      </c>
      <c r="E298">
        <v>15373.31</v>
      </c>
      <c r="F298" s="2">
        <v>0.40694444444444444</v>
      </c>
      <c r="G298">
        <v>15346.41</v>
      </c>
      <c r="H298">
        <v>15384.07</v>
      </c>
      <c r="I298">
        <v>15346.41</v>
      </c>
      <c r="J298" t="s">
        <v>14</v>
      </c>
      <c r="K298">
        <v>26.9</v>
      </c>
      <c r="L298" s="9">
        <v>2.5</v>
      </c>
      <c r="M298">
        <v>1</v>
      </c>
      <c r="N298">
        <f t="shared" si="8"/>
        <v>0</v>
      </c>
      <c r="O298">
        <f t="shared" si="9"/>
        <v>2</v>
      </c>
    </row>
    <row r="299" spans="1:15" x14ac:dyDescent="0.2">
      <c r="A299" s="1">
        <v>45180</v>
      </c>
      <c r="B299">
        <v>1</v>
      </c>
      <c r="C299" t="s">
        <v>16</v>
      </c>
      <c r="D299" s="2">
        <v>0.4513888888888889</v>
      </c>
      <c r="E299">
        <v>15364.49</v>
      </c>
      <c r="F299" s="2">
        <v>0.45624999999999999</v>
      </c>
      <c r="G299">
        <v>15353.73</v>
      </c>
      <c r="H299">
        <v>15353.73</v>
      </c>
      <c r="I299">
        <v>15391.37</v>
      </c>
      <c r="J299" t="s">
        <v>15</v>
      </c>
      <c r="K299">
        <v>-10.76</v>
      </c>
      <c r="L299" s="9">
        <v>-1</v>
      </c>
      <c r="M299">
        <v>0</v>
      </c>
      <c r="N299">
        <f t="shared" si="8"/>
        <v>1</v>
      </c>
      <c r="O299">
        <f t="shared" si="9"/>
        <v>0</v>
      </c>
    </row>
    <row r="300" spans="1:15" x14ac:dyDescent="0.2">
      <c r="A300" s="1">
        <v>45181</v>
      </c>
      <c r="B300">
        <v>2</v>
      </c>
      <c r="C300" t="s">
        <v>16</v>
      </c>
      <c r="D300" s="2">
        <v>0.40486111111111112</v>
      </c>
      <c r="E300">
        <v>15417.55</v>
      </c>
      <c r="F300" s="2">
        <v>0.40902777777777777</v>
      </c>
      <c r="G300">
        <v>15406.76</v>
      </c>
      <c r="H300">
        <v>15406.76</v>
      </c>
      <c r="I300">
        <v>15444.53</v>
      </c>
      <c r="J300" t="s">
        <v>15</v>
      </c>
      <c r="K300">
        <v>-10.79</v>
      </c>
      <c r="L300" s="9">
        <v>-1</v>
      </c>
      <c r="M300">
        <v>0</v>
      </c>
      <c r="N300">
        <f t="shared" si="8"/>
        <v>2</v>
      </c>
      <c r="O300">
        <f t="shared" si="9"/>
        <v>0</v>
      </c>
    </row>
    <row r="301" spans="1:15" x14ac:dyDescent="0.2">
      <c r="A301" s="1">
        <v>45181</v>
      </c>
      <c r="B301">
        <v>2</v>
      </c>
      <c r="C301" t="s">
        <v>13</v>
      </c>
      <c r="D301" s="2">
        <v>0.43888888888888888</v>
      </c>
      <c r="E301">
        <v>15373.65</v>
      </c>
      <c r="F301" s="2">
        <v>0.43958333333333333</v>
      </c>
      <c r="G301">
        <v>15384.41</v>
      </c>
      <c r="H301">
        <v>15384.41</v>
      </c>
      <c r="I301">
        <v>15346.74</v>
      </c>
      <c r="J301" t="s">
        <v>15</v>
      </c>
      <c r="K301">
        <v>-10.76</v>
      </c>
      <c r="L301" s="9">
        <v>-1</v>
      </c>
      <c r="M301">
        <v>0</v>
      </c>
      <c r="N301">
        <f t="shared" si="8"/>
        <v>3</v>
      </c>
      <c r="O301">
        <f t="shared" si="9"/>
        <v>0</v>
      </c>
    </row>
    <row r="302" spans="1:15" x14ac:dyDescent="0.2">
      <c r="A302" s="1">
        <v>45182</v>
      </c>
      <c r="B302">
        <v>3</v>
      </c>
      <c r="C302" t="s">
        <v>13</v>
      </c>
      <c r="D302" s="2">
        <v>0.4236111111111111</v>
      </c>
      <c r="E302">
        <v>15284.56</v>
      </c>
      <c r="F302" s="2">
        <v>0.42708333333333331</v>
      </c>
      <c r="G302">
        <v>15257.81</v>
      </c>
      <c r="H302">
        <v>15295.26</v>
      </c>
      <c r="I302">
        <v>15257.81</v>
      </c>
      <c r="J302" t="s">
        <v>14</v>
      </c>
      <c r="K302">
        <v>26.75</v>
      </c>
      <c r="L302" s="9">
        <v>2.5</v>
      </c>
      <c r="M302">
        <v>1</v>
      </c>
      <c r="N302">
        <f t="shared" si="8"/>
        <v>0</v>
      </c>
      <c r="O302">
        <f t="shared" si="9"/>
        <v>1</v>
      </c>
    </row>
    <row r="303" spans="1:15" x14ac:dyDescent="0.2">
      <c r="A303" s="1">
        <v>45182</v>
      </c>
      <c r="B303">
        <v>3</v>
      </c>
      <c r="C303" t="s">
        <v>16</v>
      </c>
      <c r="D303" s="2">
        <v>0.4465277777777778</v>
      </c>
      <c r="E303">
        <v>15358.44</v>
      </c>
      <c r="F303" s="2">
        <v>0.44791666666666669</v>
      </c>
      <c r="G303">
        <v>15347.69</v>
      </c>
      <c r="H303">
        <v>15347.69</v>
      </c>
      <c r="I303">
        <v>15385.32</v>
      </c>
      <c r="J303" t="s">
        <v>15</v>
      </c>
      <c r="K303">
        <v>-10.75</v>
      </c>
      <c r="L303" s="9">
        <v>-1</v>
      </c>
      <c r="M303">
        <v>0</v>
      </c>
      <c r="N303">
        <f t="shared" si="8"/>
        <v>1</v>
      </c>
      <c r="O303">
        <f t="shared" si="9"/>
        <v>0</v>
      </c>
    </row>
    <row r="304" spans="1:15" x14ac:dyDescent="0.2">
      <c r="A304" s="1">
        <v>45183</v>
      </c>
      <c r="B304">
        <v>4</v>
      </c>
      <c r="C304" t="s">
        <v>13</v>
      </c>
      <c r="D304" s="2">
        <v>0.41111111111111109</v>
      </c>
      <c r="E304">
        <v>15381.74</v>
      </c>
      <c r="F304" s="2">
        <v>0.41249999999999998</v>
      </c>
      <c r="G304">
        <v>15354.82</v>
      </c>
      <c r="H304">
        <v>15392.51</v>
      </c>
      <c r="I304">
        <v>15354.82</v>
      </c>
      <c r="J304" t="s">
        <v>14</v>
      </c>
      <c r="K304">
        <v>26.92</v>
      </c>
      <c r="L304" s="9">
        <v>2.5</v>
      </c>
      <c r="M304">
        <v>1</v>
      </c>
      <c r="N304">
        <f t="shared" si="8"/>
        <v>0</v>
      </c>
      <c r="O304">
        <f t="shared" si="9"/>
        <v>1</v>
      </c>
    </row>
    <row r="305" spans="1:15" x14ac:dyDescent="0.2">
      <c r="A305" s="1">
        <v>45183</v>
      </c>
      <c r="B305">
        <v>4</v>
      </c>
      <c r="C305" t="s">
        <v>16</v>
      </c>
      <c r="D305" s="2">
        <v>0.44097222222222221</v>
      </c>
      <c r="E305">
        <v>15400.01</v>
      </c>
      <c r="F305" s="2">
        <v>0.44444444444444442</v>
      </c>
      <c r="G305">
        <v>15426.96</v>
      </c>
      <c r="H305">
        <v>15389.23</v>
      </c>
      <c r="I305">
        <v>15426.96</v>
      </c>
      <c r="J305" t="s">
        <v>14</v>
      </c>
      <c r="K305">
        <v>26.95</v>
      </c>
      <c r="L305" s="9">
        <v>2.5</v>
      </c>
      <c r="M305">
        <v>1</v>
      </c>
      <c r="N305">
        <f t="shared" si="8"/>
        <v>0</v>
      </c>
      <c r="O305">
        <f t="shared" si="9"/>
        <v>2</v>
      </c>
    </row>
    <row r="306" spans="1:15" x14ac:dyDescent="0.2">
      <c r="A306" s="1">
        <v>45184</v>
      </c>
      <c r="B306">
        <v>5</v>
      </c>
      <c r="C306" t="s">
        <v>13</v>
      </c>
      <c r="D306" s="2">
        <v>0.40069444444444446</v>
      </c>
      <c r="E306">
        <v>15387.85</v>
      </c>
      <c r="F306" s="2">
        <v>0.40277777777777779</v>
      </c>
      <c r="G306">
        <v>15360.92</v>
      </c>
      <c r="H306">
        <v>15398.62</v>
      </c>
      <c r="I306">
        <v>15360.92</v>
      </c>
      <c r="J306" t="s">
        <v>14</v>
      </c>
      <c r="K306">
        <v>26.93</v>
      </c>
      <c r="L306" s="9">
        <v>2.5</v>
      </c>
      <c r="M306">
        <v>1</v>
      </c>
      <c r="N306">
        <f t="shared" si="8"/>
        <v>0</v>
      </c>
      <c r="O306">
        <f t="shared" si="9"/>
        <v>3</v>
      </c>
    </row>
    <row r="307" spans="1:15" x14ac:dyDescent="0.2">
      <c r="A307" s="1">
        <v>45184</v>
      </c>
      <c r="B307">
        <v>5</v>
      </c>
      <c r="C307" t="s">
        <v>13</v>
      </c>
      <c r="D307" s="2">
        <v>0.4548611111111111</v>
      </c>
      <c r="E307">
        <v>15254.65</v>
      </c>
      <c r="F307" s="2">
        <v>0.47291666666666665</v>
      </c>
      <c r="G307">
        <v>15227.95</v>
      </c>
      <c r="H307">
        <v>15265.33</v>
      </c>
      <c r="I307">
        <v>15227.95</v>
      </c>
      <c r="J307" t="s">
        <v>14</v>
      </c>
      <c r="K307">
        <v>26.7</v>
      </c>
      <c r="L307" s="9">
        <v>2.5</v>
      </c>
      <c r="M307">
        <v>1</v>
      </c>
      <c r="N307">
        <f t="shared" si="8"/>
        <v>0</v>
      </c>
      <c r="O307">
        <f t="shared" si="9"/>
        <v>4</v>
      </c>
    </row>
    <row r="308" spans="1:15" x14ac:dyDescent="0.2">
      <c r="A308" s="1">
        <v>45187</v>
      </c>
      <c r="B308">
        <v>1</v>
      </c>
      <c r="C308" t="s">
        <v>16</v>
      </c>
      <c r="D308" s="2">
        <v>0.40208333333333335</v>
      </c>
      <c r="E308">
        <v>15225.77</v>
      </c>
      <c r="F308" s="2">
        <v>0.40277777777777779</v>
      </c>
      <c r="G308">
        <v>15215.11</v>
      </c>
      <c r="H308">
        <v>15215.11</v>
      </c>
      <c r="I308">
        <v>15252.42</v>
      </c>
      <c r="J308" t="s">
        <v>15</v>
      </c>
      <c r="K308">
        <v>-10.66</v>
      </c>
      <c r="L308" s="9">
        <v>-1</v>
      </c>
      <c r="M308">
        <v>0</v>
      </c>
      <c r="N308">
        <f t="shared" si="8"/>
        <v>1</v>
      </c>
      <c r="O308">
        <f t="shared" si="9"/>
        <v>0</v>
      </c>
    </row>
    <row r="309" spans="1:15" x14ac:dyDescent="0.2">
      <c r="A309" s="1">
        <v>45187</v>
      </c>
      <c r="B309">
        <v>1</v>
      </c>
      <c r="C309" t="s">
        <v>13</v>
      </c>
      <c r="D309" s="2">
        <v>0.44583333333333336</v>
      </c>
      <c r="E309">
        <v>15187.19</v>
      </c>
      <c r="F309" s="2">
        <v>0.4465277777777778</v>
      </c>
      <c r="G309">
        <v>15197.82</v>
      </c>
      <c r="H309">
        <v>15197.82</v>
      </c>
      <c r="I309">
        <v>15160.61</v>
      </c>
      <c r="J309" t="s">
        <v>15</v>
      </c>
      <c r="K309">
        <v>-10.63</v>
      </c>
      <c r="L309" s="9">
        <v>-1</v>
      </c>
      <c r="M309">
        <v>0</v>
      </c>
      <c r="N309">
        <f t="shared" si="8"/>
        <v>2</v>
      </c>
      <c r="O309">
        <f t="shared" si="9"/>
        <v>0</v>
      </c>
    </row>
    <row r="310" spans="1:15" x14ac:dyDescent="0.2">
      <c r="A310" s="1">
        <v>45188</v>
      </c>
      <c r="B310">
        <v>2</v>
      </c>
      <c r="C310" t="s">
        <v>13</v>
      </c>
      <c r="D310" s="2">
        <v>0.4152777777777778</v>
      </c>
      <c r="E310">
        <v>15133.46</v>
      </c>
      <c r="F310" s="2">
        <v>0.41736111111111113</v>
      </c>
      <c r="G310">
        <v>15106.98</v>
      </c>
      <c r="H310">
        <v>15144.05</v>
      </c>
      <c r="I310">
        <v>15106.98</v>
      </c>
      <c r="J310" t="s">
        <v>14</v>
      </c>
      <c r="K310">
        <v>26.48</v>
      </c>
      <c r="L310" s="9">
        <v>2.5</v>
      </c>
      <c r="M310">
        <v>1</v>
      </c>
      <c r="N310">
        <f t="shared" si="8"/>
        <v>0</v>
      </c>
      <c r="O310">
        <f t="shared" si="9"/>
        <v>1</v>
      </c>
    </row>
    <row r="311" spans="1:15" x14ac:dyDescent="0.2">
      <c r="A311" s="1">
        <v>45188</v>
      </c>
      <c r="B311">
        <v>2</v>
      </c>
      <c r="C311" t="s">
        <v>13</v>
      </c>
      <c r="D311" s="2">
        <v>0.44583333333333336</v>
      </c>
      <c r="E311">
        <v>15079.04</v>
      </c>
      <c r="F311" s="2">
        <v>0.44791666666666669</v>
      </c>
      <c r="G311">
        <v>15089.59</v>
      </c>
      <c r="H311">
        <v>15089.59</v>
      </c>
      <c r="I311">
        <v>15052.65</v>
      </c>
      <c r="J311" t="s">
        <v>15</v>
      </c>
      <c r="K311">
        <v>-10.56</v>
      </c>
      <c r="L311" s="9">
        <v>-1</v>
      </c>
      <c r="M311">
        <v>0</v>
      </c>
      <c r="N311">
        <f t="shared" si="8"/>
        <v>1</v>
      </c>
      <c r="O311">
        <f t="shared" si="9"/>
        <v>0</v>
      </c>
    </row>
    <row r="312" spans="1:15" x14ac:dyDescent="0.2">
      <c r="A312" s="1">
        <v>45190</v>
      </c>
      <c r="B312">
        <v>4</v>
      </c>
      <c r="C312" t="s">
        <v>16</v>
      </c>
      <c r="D312" s="2">
        <v>0.39791666666666664</v>
      </c>
      <c r="E312">
        <v>14812.73</v>
      </c>
      <c r="F312" s="2">
        <v>0.39861111111111114</v>
      </c>
      <c r="G312">
        <v>14802.36</v>
      </c>
      <c r="H312">
        <v>14802.36</v>
      </c>
      <c r="I312">
        <v>14838.65</v>
      </c>
      <c r="J312" t="s">
        <v>15</v>
      </c>
      <c r="K312">
        <v>-10.37</v>
      </c>
      <c r="L312" s="9">
        <v>-1</v>
      </c>
      <c r="M312">
        <v>0</v>
      </c>
      <c r="N312">
        <f t="shared" si="8"/>
        <v>2</v>
      </c>
      <c r="O312">
        <f t="shared" si="9"/>
        <v>0</v>
      </c>
    </row>
    <row r="313" spans="1:15" x14ac:dyDescent="0.2">
      <c r="A313" s="1">
        <v>45190</v>
      </c>
      <c r="B313">
        <v>4</v>
      </c>
      <c r="C313" t="s">
        <v>13</v>
      </c>
      <c r="D313" s="2">
        <v>0.41458333333333336</v>
      </c>
      <c r="E313">
        <v>14774.02</v>
      </c>
      <c r="F313" s="2">
        <v>0.42083333333333334</v>
      </c>
      <c r="G313">
        <v>14784.36</v>
      </c>
      <c r="H313">
        <v>14784.36</v>
      </c>
      <c r="I313">
        <v>14748.17</v>
      </c>
      <c r="J313" t="s">
        <v>15</v>
      </c>
      <c r="K313">
        <v>-10.34</v>
      </c>
      <c r="L313" s="9">
        <v>-1</v>
      </c>
      <c r="M313">
        <v>0</v>
      </c>
      <c r="N313">
        <f t="shared" si="8"/>
        <v>3</v>
      </c>
      <c r="O313">
        <f t="shared" si="9"/>
        <v>0</v>
      </c>
    </row>
    <row r="314" spans="1:15" x14ac:dyDescent="0.2">
      <c r="A314" s="1">
        <v>45190</v>
      </c>
      <c r="B314">
        <v>4</v>
      </c>
      <c r="C314" t="s">
        <v>16</v>
      </c>
      <c r="D314" s="2">
        <v>0.43125000000000002</v>
      </c>
      <c r="E314">
        <v>14817.41</v>
      </c>
      <c r="F314" s="2">
        <v>0.43263888888888891</v>
      </c>
      <c r="G314">
        <v>14807.04</v>
      </c>
      <c r="H314">
        <v>14807.04</v>
      </c>
      <c r="I314">
        <v>14843.34</v>
      </c>
      <c r="J314" t="s">
        <v>15</v>
      </c>
      <c r="K314">
        <v>-10.37</v>
      </c>
      <c r="L314" s="9">
        <v>-1</v>
      </c>
      <c r="M314">
        <v>0</v>
      </c>
      <c r="N314">
        <f t="shared" si="8"/>
        <v>4</v>
      </c>
      <c r="O314">
        <f t="shared" si="9"/>
        <v>0</v>
      </c>
    </row>
    <row r="315" spans="1:15" x14ac:dyDescent="0.2">
      <c r="A315" s="1">
        <v>45194</v>
      </c>
      <c r="B315">
        <v>1</v>
      </c>
      <c r="C315" t="s">
        <v>13</v>
      </c>
      <c r="D315" s="2">
        <v>0.43611111111111112</v>
      </c>
      <c r="E315">
        <v>14665.19</v>
      </c>
      <c r="F315" s="2">
        <v>0.43888888888888888</v>
      </c>
      <c r="G315">
        <v>14675.46</v>
      </c>
      <c r="H315">
        <v>14675.46</v>
      </c>
      <c r="I315">
        <v>14639.53</v>
      </c>
      <c r="J315" t="s">
        <v>15</v>
      </c>
      <c r="K315">
        <v>-10.27</v>
      </c>
      <c r="L315" s="9">
        <v>-1</v>
      </c>
      <c r="M315">
        <v>0</v>
      </c>
      <c r="N315">
        <f t="shared" si="8"/>
        <v>5</v>
      </c>
      <c r="O315">
        <f t="shared" si="9"/>
        <v>0</v>
      </c>
    </row>
    <row r="316" spans="1:15" x14ac:dyDescent="0.2">
      <c r="A316" s="1">
        <v>45196</v>
      </c>
      <c r="B316">
        <v>3</v>
      </c>
      <c r="C316" t="s">
        <v>16</v>
      </c>
      <c r="D316" s="2">
        <v>0.40833333333333333</v>
      </c>
      <c r="E316">
        <v>14626.98</v>
      </c>
      <c r="F316" s="2">
        <v>0.40902777777777777</v>
      </c>
      <c r="G316">
        <v>14616.74</v>
      </c>
      <c r="H316">
        <v>14616.74</v>
      </c>
      <c r="I316">
        <v>14652.57</v>
      </c>
      <c r="J316" t="s">
        <v>15</v>
      </c>
      <c r="K316">
        <v>-10.24</v>
      </c>
      <c r="L316" s="9">
        <v>-1</v>
      </c>
      <c r="M316">
        <v>0</v>
      </c>
      <c r="N316">
        <f t="shared" si="8"/>
        <v>6</v>
      </c>
      <c r="O316">
        <f t="shared" si="9"/>
        <v>0</v>
      </c>
    </row>
    <row r="317" spans="1:15" x14ac:dyDescent="0.2">
      <c r="A317" s="1">
        <v>45196</v>
      </c>
      <c r="B317">
        <v>3</v>
      </c>
      <c r="C317" t="s">
        <v>13</v>
      </c>
      <c r="D317" s="2">
        <v>0.42222222222222222</v>
      </c>
      <c r="E317">
        <v>14574.81</v>
      </c>
      <c r="F317" s="2">
        <v>0.42638888888888887</v>
      </c>
      <c r="G317">
        <v>14549.3</v>
      </c>
      <c r="H317">
        <v>14585.01</v>
      </c>
      <c r="I317">
        <v>14549.3</v>
      </c>
      <c r="J317" t="s">
        <v>14</v>
      </c>
      <c r="K317">
        <v>25.51</v>
      </c>
      <c r="L317" s="9">
        <v>2.5</v>
      </c>
      <c r="M317">
        <v>1</v>
      </c>
      <c r="N317">
        <f t="shared" si="8"/>
        <v>0</v>
      </c>
      <c r="O317">
        <f t="shared" si="9"/>
        <v>1</v>
      </c>
    </row>
    <row r="318" spans="1:15" x14ac:dyDescent="0.2">
      <c r="A318" s="1">
        <v>45196</v>
      </c>
      <c r="B318">
        <v>3</v>
      </c>
      <c r="C318" t="s">
        <v>13</v>
      </c>
      <c r="D318" s="2">
        <v>0.45763888888888887</v>
      </c>
      <c r="E318">
        <v>14531.89</v>
      </c>
      <c r="F318" s="2">
        <v>0.45902777777777776</v>
      </c>
      <c r="G318">
        <v>14542.06</v>
      </c>
      <c r="H318">
        <v>14542.06</v>
      </c>
      <c r="I318">
        <v>14506.46</v>
      </c>
      <c r="J318" t="s">
        <v>15</v>
      </c>
      <c r="K318">
        <v>-10.17</v>
      </c>
      <c r="L318" s="9">
        <v>-1</v>
      </c>
      <c r="M318">
        <v>0</v>
      </c>
      <c r="N318">
        <f t="shared" si="8"/>
        <v>1</v>
      </c>
      <c r="O318">
        <f t="shared" si="9"/>
        <v>0</v>
      </c>
    </row>
    <row r="319" spans="1:15" x14ac:dyDescent="0.2">
      <c r="A319" s="1">
        <v>45197</v>
      </c>
      <c r="B319">
        <v>4</v>
      </c>
      <c r="C319" t="s">
        <v>16</v>
      </c>
      <c r="D319" s="2">
        <v>0.4152777777777778</v>
      </c>
      <c r="E319">
        <v>14576.53</v>
      </c>
      <c r="F319" s="2">
        <v>0.41666666666666669</v>
      </c>
      <c r="G319">
        <v>14602.04</v>
      </c>
      <c r="H319">
        <v>14566.33</v>
      </c>
      <c r="I319">
        <v>14602.04</v>
      </c>
      <c r="J319" t="s">
        <v>14</v>
      </c>
      <c r="K319">
        <v>25.51</v>
      </c>
      <c r="L319" s="9">
        <v>2.5</v>
      </c>
      <c r="M319">
        <v>1</v>
      </c>
      <c r="N319">
        <f t="shared" si="8"/>
        <v>0</v>
      </c>
      <c r="O319">
        <f t="shared" si="9"/>
        <v>1</v>
      </c>
    </row>
    <row r="320" spans="1:15" x14ac:dyDescent="0.2">
      <c r="A320" s="1">
        <v>45197</v>
      </c>
      <c r="B320">
        <v>4</v>
      </c>
      <c r="C320" t="s">
        <v>13</v>
      </c>
      <c r="D320" s="2">
        <v>0.44027777777777777</v>
      </c>
      <c r="E320">
        <v>14544.66</v>
      </c>
      <c r="F320" s="2">
        <v>0.44097222222222221</v>
      </c>
      <c r="G320">
        <v>14554.84</v>
      </c>
      <c r="H320">
        <v>14554.84</v>
      </c>
      <c r="I320">
        <v>14519.2</v>
      </c>
      <c r="J320" t="s">
        <v>15</v>
      </c>
      <c r="K320">
        <v>-10.18</v>
      </c>
      <c r="L320" s="9">
        <v>-1</v>
      </c>
      <c r="M320">
        <v>0</v>
      </c>
      <c r="N320">
        <f t="shared" si="8"/>
        <v>1</v>
      </c>
      <c r="O320">
        <f t="shared" si="9"/>
        <v>0</v>
      </c>
    </row>
    <row r="321" spans="1:15" x14ac:dyDescent="0.2">
      <c r="A321" s="1">
        <v>45197</v>
      </c>
      <c r="B321">
        <v>4</v>
      </c>
      <c r="C321" t="s">
        <v>16</v>
      </c>
      <c r="D321" s="2">
        <v>0.45277777777777778</v>
      </c>
      <c r="E321">
        <v>14616.45</v>
      </c>
      <c r="F321" s="2">
        <v>0.46250000000000002</v>
      </c>
      <c r="G321">
        <v>14606.22</v>
      </c>
      <c r="H321">
        <v>14606.22</v>
      </c>
      <c r="I321">
        <v>14642.03</v>
      </c>
      <c r="J321" t="s">
        <v>15</v>
      </c>
      <c r="K321">
        <v>-10.23</v>
      </c>
      <c r="L321" s="9">
        <v>-1</v>
      </c>
      <c r="M321">
        <v>0</v>
      </c>
      <c r="N321">
        <f t="shared" si="8"/>
        <v>2</v>
      </c>
      <c r="O321">
        <f t="shared" si="9"/>
        <v>0</v>
      </c>
    </row>
    <row r="322" spans="1:15" x14ac:dyDescent="0.2">
      <c r="A322" s="1">
        <v>45202</v>
      </c>
      <c r="B322">
        <v>2</v>
      </c>
      <c r="C322" t="s">
        <v>16</v>
      </c>
      <c r="D322" s="2">
        <v>0.40069444444444446</v>
      </c>
      <c r="E322">
        <v>14745.34</v>
      </c>
      <c r="F322" s="2">
        <v>0.40902777777777777</v>
      </c>
      <c r="G322">
        <v>14771.15</v>
      </c>
      <c r="H322">
        <v>14735.02</v>
      </c>
      <c r="I322">
        <v>14771.15</v>
      </c>
      <c r="J322" t="s">
        <v>14</v>
      </c>
      <c r="K322">
        <v>25.8</v>
      </c>
      <c r="L322" s="9">
        <v>2.5</v>
      </c>
      <c r="M322">
        <v>1</v>
      </c>
      <c r="N322">
        <f t="shared" ref="N322:N385" si="10">IF(M322=0, IF(M321=0, N321+1, 1), 0)</f>
        <v>0</v>
      </c>
      <c r="O322">
        <f t="shared" ref="O322:O385" si="11">IF(M322=1, IF(M321=1, O321+1, 1), 0)</f>
        <v>1</v>
      </c>
    </row>
    <row r="323" spans="1:15" x14ac:dyDescent="0.2">
      <c r="A323" s="1">
        <v>45202</v>
      </c>
      <c r="B323">
        <v>2</v>
      </c>
      <c r="C323" t="s">
        <v>13</v>
      </c>
      <c r="D323" s="2">
        <v>0.42430555555555555</v>
      </c>
      <c r="E323">
        <v>14682.58</v>
      </c>
      <c r="F323" s="2">
        <v>0.42499999999999999</v>
      </c>
      <c r="G323">
        <v>14692.85</v>
      </c>
      <c r="H323">
        <v>14692.85</v>
      </c>
      <c r="I323">
        <v>14656.88</v>
      </c>
      <c r="J323" t="s">
        <v>15</v>
      </c>
      <c r="K323">
        <v>-10.28</v>
      </c>
      <c r="L323" s="9">
        <v>-1</v>
      </c>
      <c r="M323">
        <v>0</v>
      </c>
      <c r="N323">
        <f t="shared" si="10"/>
        <v>1</v>
      </c>
      <c r="O323">
        <f t="shared" si="11"/>
        <v>0</v>
      </c>
    </row>
    <row r="324" spans="1:15" x14ac:dyDescent="0.2">
      <c r="A324" s="1">
        <v>45202</v>
      </c>
      <c r="B324">
        <v>2</v>
      </c>
      <c r="C324" t="s">
        <v>13</v>
      </c>
      <c r="D324" s="2">
        <v>0.4513888888888889</v>
      </c>
      <c r="E324">
        <v>14617.1</v>
      </c>
      <c r="F324" s="2">
        <v>0.45833333333333331</v>
      </c>
      <c r="G324">
        <v>14591.52</v>
      </c>
      <c r="H324">
        <v>14627.33</v>
      </c>
      <c r="I324">
        <v>14591.52</v>
      </c>
      <c r="J324" t="s">
        <v>14</v>
      </c>
      <c r="K324">
        <v>25.58</v>
      </c>
      <c r="L324" s="9">
        <v>2.5</v>
      </c>
      <c r="M324">
        <v>1</v>
      </c>
      <c r="N324">
        <f t="shared" si="10"/>
        <v>0</v>
      </c>
      <c r="O324">
        <f t="shared" si="11"/>
        <v>1</v>
      </c>
    </row>
    <row r="325" spans="1:15" x14ac:dyDescent="0.2">
      <c r="A325" s="1">
        <v>45204</v>
      </c>
      <c r="B325">
        <v>4</v>
      </c>
      <c r="C325" t="s">
        <v>16</v>
      </c>
      <c r="D325" s="2">
        <v>0.39583333333333331</v>
      </c>
      <c r="E325">
        <v>14759.1</v>
      </c>
      <c r="F325" s="2">
        <v>0.3972222222222222</v>
      </c>
      <c r="G325">
        <v>14748.77</v>
      </c>
      <c r="H325">
        <v>14748.77</v>
      </c>
      <c r="I325">
        <v>14784.93</v>
      </c>
      <c r="J325" t="s">
        <v>15</v>
      </c>
      <c r="K325">
        <v>-10.33</v>
      </c>
      <c r="L325" s="9">
        <v>-1</v>
      </c>
      <c r="M325">
        <v>0</v>
      </c>
      <c r="N325">
        <f t="shared" si="10"/>
        <v>1</v>
      </c>
      <c r="O325">
        <f t="shared" si="11"/>
        <v>0</v>
      </c>
    </row>
    <row r="326" spans="1:15" x14ac:dyDescent="0.2">
      <c r="A326" s="1">
        <v>45204</v>
      </c>
      <c r="B326">
        <v>4</v>
      </c>
      <c r="C326" t="s">
        <v>13</v>
      </c>
      <c r="D326" s="2">
        <v>0.41319444444444442</v>
      </c>
      <c r="E326">
        <v>14695.2</v>
      </c>
      <c r="F326" s="2">
        <v>0.41388888888888886</v>
      </c>
      <c r="G326">
        <v>14705.48</v>
      </c>
      <c r="H326">
        <v>14705.48</v>
      </c>
      <c r="I326">
        <v>14669.48</v>
      </c>
      <c r="J326" t="s">
        <v>15</v>
      </c>
      <c r="K326">
        <v>-10.29</v>
      </c>
      <c r="L326" s="9">
        <v>-1</v>
      </c>
      <c r="M326">
        <v>0</v>
      </c>
      <c r="N326">
        <f t="shared" si="10"/>
        <v>2</v>
      </c>
      <c r="O326">
        <f t="shared" si="11"/>
        <v>0</v>
      </c>
    </row>
    <row r="327" spans="1:15" x14ac:dyDescent="0.2">
      <c r="A327" s="1">
        <v>45204</v>
      </c>
      <c r="B327">
        <v>4</v>
      </c>
      <c r="C327" t="s">
        <v>13</v>
      </c>
      <c r="D327" s="2">
        <v>0.4465277777777778</v>
      </c>
      <c r="E327">
        <v>14597.47</v>
      </c>
      <c r="F327" s="2">
        <v>0.45416666666666666</v>
      </c>
      <c r="G327">
        <v>14607.69</v>
      </c>
      <c r="H327">
        <v>14607.69</v>
      </c>
      <c r="I327">
        <v>14571.92</v>
      </c>
      <c r="J327" t="s">
        <v>15</v>
      </c>
      <c r="K327">
        <v>-10.220000000000001</v>
      </c>
      <c r="L327" s="9">
        <v>-1</v>
      </c>
      <c r="M327">
        <v>0</v>
      </c>
      <c r="N327">
        <f t="shared" si="10"/>
        <v>3</v>
      </c>
      <c r="O327">
        <f t="shared" si="11"/>
        <v>0</v>
      </c>
    </row>
    <row r="328" spans="1:15" x14ac:dyDescent="0.2">
      <c r="A328" s="1">
        <v>45205</v>
      </c>
      <c r="B328">
        <v>5</v>
      </c>
      <c r="C328" t="s">
        <v>13</v>
      </c>
      <c r="D328" s="2">
        <v>0.42291666666666666</v>
      </c>
      <c r="E328">
        <v>14585.61</v>
      </c>
      <c r="F328" s="2">
        <v>0.4236111111111111</v>
      </c>
      <c r="G328">
        <v>14595.82</v>
      </c>
      <c r="H328">
        <v>14595.82</v>
      </c>
      <c r="I328">
        <v>14560.08</v>
      </c>
      <c r="J328" t="s">
        <v>15</v>
      </c>
      <c r="K328">
        <v>-10.210000000000001</v>
      </c>
      <c r="L328" s="9">
        <v>-1</v>
      </c>
      <c r="M328">
        <v>0</v>
      </c>
      <c r="N328">
        <f t="shared" si="10"/>
        <v>4</v>
      </c>
      <c r="O328">
        <f t="shared" si="11"/>
        <v>0</v>
      </c>
    </row>
    <row r="329" spans="1:15" x14ac:dyDescent="0.2">
      <c r="A329" s="1">
        <v>45205</v>
      </c>
      <c r="B329">
        <v>5</v>
      </c>
      <c r="C329" t="s">
        <v>16</v>
      </c>
      <c r="D329" s="2">
        <v>0.44097222222222221</v>
      </c>
      <c r="E329">
        <v>14731.1</v>
      </c>
      <c r="F329" s="2">
        <v>0.4465277777777778</v>
      </c>
      <c r="G329">
        <v>14720.78</v>
      </c>
      <c r="H329">
        <v>14720.78</v>
      </c>
      <c r="I329">
        <v>14756.88</v>
      </c>
      <c r="J329" t="s">
        <v>15</v>
      </c>
      <c r="K329">
        <v>-10.31</v>
      </c>
      <c r="L329" s="9">
        <v>-1</v>
      </c>
      <c r="M329">
        <v>0</v>
      </c>
      <c r="N329">
        <f t="shared" si="10"/>
        <v>5</v>
      </c>
      <c r="O329">
        <f t="shared" si="11"/>
        <v>0</v>
      </c>
    </row>
    <row r="330" spans="1:15" x14ac:dyDescent="0.2">
      <c r="A330" s="1">
        <v>45208</v>
      </c>
      <c r="B330">
        <v>1</v>
      </c>
      <c r="C330" t="s">
        <v>16</v>
      </c>
      <c r="D330" s="2">
        <v>0.43541666666666667</v>
      </c>
      <c r="E330">
        <v>14913.68</v>
      </c>
      <c r="F330" s="2">
        <v>0.43611111111111112</v>
      </c>
      <c r="G330">
        <v>14903.24</v>
      </c>
      <c r="H330">
        <v>14903.24</v>
      </c>
      <c r="I330">
        <v>14939.78</v>
      </c>
      <c r="J330" t="s">
        <v>15</v>
      </c>
      <c r="K330">
        <v>-10.44</v>
      </c>
      <c r="L330" s="9">
        <v>-1</v>
      </c>
      <c r="M330">
        <v>0</v>
      </c>
      <c r="N330">
        <f t="shared" si="10"/>
        <v>6</v>
      </c>
      <c r="O330">
        <f t="shared" si="11"/>
        <v>0</v>
      </c>
    </row>
    <row r="331" spans="1:15" x14ac:dyDescent="0.2">
      <c r="A331" s="1">
        <v>45208</v>
      </c>
      <c r="B331">
        <v>1</v>
      </c>
      <c r="C331" t="s">
        <v>13</v>
      </c>
      <c r="D331" s="2">
        <v>0.4465277777777778</v>
      </c>
      <c r="E331">
        <v>14872.13</v>
      </c>
      <c r="F331" s="2">
        <v>0.44722222222222224</v>
      </c>
      <c r="G331">
        <v>14882.54</v>
      </c>
      <c r="H331">
        <v>14882.54</v>
      </c>
      <c r="I331">
        <v>14846.1</v>
      </c>
      <c r="J331" t="s">
        <v>15</v>
      </c>
      <c r="K331">
        <v>-10.41</v>
      </c>
      <c r="L331" s="9">
        <v>-1</v>
      </c>
      <c r="M331">
        <v>0</v>
      </c>
      <c r="N331">
        <f t="shared" si="10"/>
        <v>7</v>
      </c>
      <c r="O331">
        <f t="shared" si="11"/>
        <v>0</v>
      </c>
    </row>
    <row r="332" spans="1:15" x14ac:dyDescent="0.2">
      <c r="A332" s="1">
        <v>45209</v>
      </c>
      <c r="B332">
        <v>2</v>
      </c>
      <c r="C332" t="s">
        <v>16</v>
      </c>
      <c r="D332" s="2">
        <v>0.41388888888888886</v>
      </c>
      <c r="E332">
        <v>15080.14</v>
      </c>
      <c r="F332" s="2">
        <v>0.41666666666666669</v>
      </c>
      <c r="G332">
        <v>15106.53</v>
      </c>
      <c r="H332">
        <v>15069.58</v>
      </c>
      <c r="I332">
        <v>15106.53</v>
      </c>
      <c r="J332" t="s">
        <v>14</v>
      </c>
      <c r="K332">
        <v>26.39</v>
      </c>
      <c r="L332" s="9">
        <v>2.5</v>
      </c>
      <c r="M332">
        <v>1</v>
      </c>
      <c r="N332">
        <f t="shared" si="10"/>
        <v>0</v>
      </c>
      <c r="O332">
        <f t="shared" si="11"/>
        <v>1</v>
      </c>
    </row>
    <row r="333" spans="1:15" x14ac:dyDescent="0.2">
      <c r="A333" s="1">
        <v>45210</v>
      </c>
      <c r="B333">
        <v>3</v>
      </c>
      <c r="C333" t="s">
        <v>16</v>
      </c>
      <c r="D333" s="2">
        <v>0.40138888888888891</v>
      </c>
      <c r="E333">
        <v>15232.74</v>
      </c>
      <c r="F333" s="2">
        <v>0.40277777777777779</v>
      </c>
      <c r="G333">
        <v>15222.08</v>
      </c>
      <c r="H333">
        <v>15222.08</v>
      </c>
      <c r="I333">
        <v>15259.4</v>
      </c>
      <c r="J333" t="s">
        <v>15</v>
      </c>
      <c r="K333">
        <v>-10.66</v>
      </c>
      <c r="L333" s="9">
        <v>-1</v>
      </c>
      <c r="M333">
        <v>0</v>
      </c>
      <c r="N333">
        <f t="shared" si="10"/>
        <v>1</v>
      </c>
      <c r="O333">
        <f t="shared" si="11"/>
        <v>0</v>
      </c>
    </row>
    <row r="334" spans="1:15" x14ac:dyDescent="0.2">
      <c r="A334" s="1">
        <v>45210</v>
      </c>
      <c r="B334">
        <v>3</v>
      </c>
      <c r="C334" t="s">
        <v>13</v>
      </c>
      <c r="D334" s="2">
        <v>0.41597222222222224</v>
      </c>
      <c r="E334">
        <v>15194.61</v>
      </c>
      <c r="F334" s="2">
        <v>0.42708333333333331</v>
      </c>
      <c r="G334">
        <v>15168.02</v>
      </c>
      <c r="H334">
        <v>15205.25</v>
      </c>
      <c r="I334">
        <v>15168.02</v>
      </c>
      <c r="J334" t="s">
        <v>14</v>
      </c>
      <c r="K334">
        <v>26.59</v>
      </c>
      <c r="L334" s="9">
        <v>2.5</v>
      </c>
      <c r="M334">
        <v>1</v>
      </c>
      <c r="N334">
        <f t="shared" si="10"/>
        <v>0</v>
      </c>
      <c r="O334">
        <f t="shared" si="11"/>
        <v>1</v>
      </c>
    </row>
    <row r="335" spans="1:15" x14ac:dyDescent="0.2">
      <c r="A335" s="1">
        <v>45210</v>
      </c>
      <c r="B335">
        <v>3</v>
      </c>
      <c r="C335" t="s">
        <v>16</v>
      </c>
      <c r="D335" s="2">
        <v>0.45624999999999999</v>
      </c>
      <c r="E335">
        <v>15215.34</v>
      </c>
      <c r="F335" s="2">
        <v>0.46666666666666667</v>
      </c>
      <c r="G335">
        <v>15241.96</v>
      </c>
      <c r="H335">
        <v>15204.69</v>
      </c>
      <c r="I335">
        <v>15241.96</v>
      </c>
      <c r="J335" t="s">
        <v>14</v>
      </c>
      <c r="K335">
        <v>26.63</v>
      </c>
      <c r="L335" s="9">
        <v>2.5</v>
      </c>
      <c r="M335">
        <v>1</v>
      </c>
      <c r="N335">
        <f t="shared" si="10"/>
        <v>0</v>
      </c>
      <c r="O335">
        <f t="shared" si="11"/>
        <v>2</v>
      </c>
    </row>
    <row r="336" spans="1:15" x14ac:dyDescent="0.2">
      <c r="A336" s="1">
        <v>45211</v>
      </c>
      <c r="B336">
        <v>4</v>
      </c>
      <c r="C336" t="s">
        <v>16</v>
      </c>
      <c r="D336" s="2">
        <v>0.40208333333333335</v>
      </c>
      <c r="E336">
        <v>15266.89</v>
      </c>
      <c r="F336" s="2">
        <v>0.40277777777777779</v>
      </c>
      <c r="G336">
        <v>15256.2</v>
      </c>
      <c r="H336">
        <v>15256.2</v>
      </c>
      <c r="I336">
        <v>15293.61</v>
      </c>
      <c r="J336" t="s">
        <v>15</v>
      </c>
      <c r="K336">
        <v>-10.69</v>
      </c>
      <c r="L336" s="9">
        <v>-1</v>
      </c>
      <c r="M336">
        <v>0</v>
      </c>
      <c r="N336">
        <f t="shared" si="10"/>
        <v>1</v>
      </c>
      <c r="O336">
        <f t="shared" si="11"/>
        <v>0</v>
      </c>
    </row>
    <row r="337" spans="1:15" x14ac:dyDescent="0.2">
      <c r="A337" s="1">
        <v>45211</v>
      </c>
      <c r="B337">
        <v>4</v>
      </c>
      <c r="C337" t="s">
        <v>16</v>
      </c>
      <c r="D337" s="2">
        <v>0.42708333333333331</v>
      </c>
      <c r="E337">
        <v>15313.85</v>
      </c>
      <c r="F337" s="2">
        <v>0.42777777777777776</v>
      </c>
      <c r="G337">
        <v>15303.13</v>
      </c>
      <c r="H337">
        <v>15303.13</v>
      </c>
      <c r="I337">
        <v>15340.65</v>
      </c>
      <c r="J337" t="s">
        <v>15</v>
      </c>
      <c r="K337">
        <v>-10.72</v>
      </c>
      <c r="L337" s="9">
        <v>-1</v>
      </c>
      <c r="M337">
        <v>0</v>
      </c>
      <c r="N337">
        <f t="shared" si="10"/>
        <v>2</v>
      </c>
      <c r="O337">
        <f t="shared" si="11"/>
        <v>0</v>
      </c>
    </row>
    <row r="338" spans="1:15" x14ac:dyDescent="0.2">
      <c r="A338" s="1">
        <v>45212</v>
      </c>
      <c r="B338">
        <v>5</v>
      </c>
      <c r="C338" t="s">
        <v>13</v>
      </c>
      <c r="D338" s="2">
        <v>0.42708333333333331</v>
      </c>
      <c r="E338">
        <v>15169.16</v>
      </c>
      <c r="F338" s="2">
        <v>0.43333333333333335</v>
      </c>
      <c r="G338">
        <v>15142.62</v>
      </c>
      <c r="H338">
        <v>15179.78</v>
      </c>
      <c r="I338">
        <v>15142.62</v>
      </c>
      <c r="J338" t="s">
        <v>14</v>
      </c>
      <c r="K338">
        <v>26.55</v>
      </c>
      <c r="L338" s="9">
        <v>2.5</v>
      </c>
      <c r="M338">
        <v>1</v>
      </c>
      <c r="N338">
        <f t="shared" si="10"/>
        <v>0</v>
      </c>
      <c r="O338">
        <f t="shared" si="11"/>
        <v>1</v>
      </c>
    </row>
    <row r="339" spans="1:15" x14ac:dyDescent="0.2">
      <c r="A339" s="1">
        <v>45215</v>
      </c>
      <c r="B339">
        <v>1</v>
      </c>
      <c r="C339" t="s">
        <v>16</v>
      </c>
      <c r="D339" s="2">
        <v>0.40138888888888891</v>
      </c>
      <c r="E339">
        <v>15111.86</v>
      </c>
      <c r="F339" s="2">
        <v>0.40416666666666667</v>
      </c>
      <c r="G339">
        <v>15101.28</v>
      </c>
      <c r="H339">
        <v>15101.28</v>
      </c>
      <c r="I339">
        <v>15138.31</v>
      </c>
      <c r="J339" t="s">
        <v>15</v>
      </c>
      <c r="K339">
        <v>-10.58</v>
      </c>
      <c r="L339" s="9">
        <v>-1</v>
      </c>
      <c r="M339">
        <v>0</v>
      </c>
      <c r="N339">
        <f t="shared" si="10"/>
        <v>1</v>
      </c>
      <c r="O339">
        <f t="shared" si="11"/>
        <v>0</v>
      </c>
    </row>
    <row r="340" spans="1:15" x14ac:dyDescent="0.2">
      <c r="A340" s="1">
        <v>45215</v>
      </c>
      <c r="B340">
        <v>1</v>
      </c>
      <c r="C340" t="s">
        <v>16</v>
      </c>
      <c r="D340" s="2">
        <v>0.42638888888888887</v>
      </c>
      <c r="E340">
        <v>15127.49</v>
      </c>
      <c r="F340" s="2">
        <v>0.43194444444444446</v>
      </c>
      <c r="G340">
        <v>15153.97</v>
      </c>
      <c r="H340">
        <v>15116.9</v>
      </c>
      <c r="I340">
        <v>15153.97</v>
      </c>
      <c r="J340" t="s">
        <v>14</v>
      </c>
      <c r="K340">
        <v>26.47</v>
      </c>
      <c r="L340" s="9">
        <v>2.5</v>
      </c>
      <c r="M340">
        <v>1</v>
      </c>
      <c r="N340">
        <f t="shared" si="10"/>
        <v>0</v>
      </c>
      <c r="O340">
        <f t="shared" si="11"/>
        <v>1</v>
      </c>
    </row>
    <row r="341" spans="1:15" x14ac:dyDescent="0.2">
      <c r="A341" s="1">
        <v>45216</v>
      </c>
      <c r="B341">
        <v>2</v>
      </c>
      <c r="C341" t="s">
        <v>13</v>
      </c>
      <c r="D341" s="2">
        <v>0.39583333333333331</v>
      </c>
      <c r="E341">
        <v>15018.4</v>
      </c>
      <c r="F341" s="2">
        <v>0.39930555555555558</v>
      </c>
      <c r="G341">
        <v>14992.11</v>
      </c>
      <c r="H341">
        <v>15028.91</v>
      </c>
      <c r="I341">
        <v>14992.11</v>
      </c>
      <c r="J341" t="s">
        <v>14</v>
      </c>
      <c r="K341">
        <v>26.28</v>
      </c>
      <c r="L341" s="9">
        <v>2.5</v>
      </c>
      <c r="M341">
        <v>1</v>
      </c>
      <c r="N341">
        <f t="shared" si="10"/>
        <v>0</v>
      </c>
      <c r="O341">
        <f t="shared" si="11"/>
        <v>2</v>
      </c>
    </row>
    <row r="342" spans="1:15" x14ac:dyDescent="0.2">
      <c r="A342" s="1">
        <v>45216</v>
      </c>
      <c r="B342">
        <v>2</v>
      </c>
      <c r="C342" t="s">
        <v>16</v>
      </c>
      <c r="D342" s="2">
        <v>0.4284722222222222</v>
      </c>
      <c r="E342">
        <v>15039.89</v>
      </c>
      <c r="F342" s="2">
        <v>0.43263888888888891</v>
      </c>
      <c r="G342">
        <v>15066.21</v>
      </c>
      <c r="H342">
        <v>15029.37</v>
      </c>
      <c r="I342">
        <v>15066.21</v>
      </c>
      <c r="J342" t="s">
        <v>14</v>
      </c>
      <c r="K342">
        <v>26.32</v>
      </c>
      <c r="L342" s="9">
        <v>2.5</v>
      </c>
      <c r="M342">
        <v>1</v>
      </c>
      <c r="N342">
        <f t="shared" si="10"/>
        <v>0</v>
      </c>
      <c r="O342">
        <f t="shared" si="11"/>
        <v>3</v>
      </c>
    </row>
    <row r="343" spans="1:15" x14ac:dyDescent="0.2">
      <c r="A343" s="1">
        <v>45217</v>
      </c>
      <c r="B343">
        <v>3</v>
      </c>
      <c r="C343" t="s">
        <v>16</v>
      </c>
      <c r="D343" s="2">
        <v>0.43402777777777779</v>
      </c>
      <c r="E343">
        <v>15089.69</v>
      </c>
      <c r="F343" s="2">
        <v>0.43472222222222223</v>
      </c>
      <c r="G343">
        <v>15079.13</v>
      </c>
      <c r="H343">
        <v>15079.13</v>
      </c>
      <c r="I343">
        <v>15116.1</v>
      </c>
      <c r="J343" t="s">
        <v>15</v>
      </c>
      <c r="K343">
        <v>-10.56</v>
      </c>
      <c r="L343" s="9">
        <v>-1</v>
      </c>
      <c r="M343">
        <v>0</v>
      </c>
      <c r="N343">
        <f t="shared" si="10"/>
        <v>1</v>
      </c>
      <c r="O343">
        <f t="shared" si="11"/>
        <v>0</v>
      </c>
    </row>
    <row r="344" spans="1:15" x14ac:dyDescent="0.2">
      <c r="A344" s="1">
        <v>45217</v>
      </c>
      <c r="B344">
        <v>3</v>
      </c>
      <c r="C344" t="s">
        <v>13</v>
      </c>
      <c r="D344" s="2">
        <v>0.44444444444444442</v>
      </c>
      <c r="E344">
        <v>14998.06</v>
      </c>
      <c r="F344" s="2">
        <v>0.4465277777777778</v>
      </c>
      <c r="G344">
        <v>15008.56</v>
      </c>
      <c r="H344">
        <v>15008.56</v>
      </c>
      <c r="I344">
        <v>14971.81</v>
      </c>
      <c r="J344" t="s">
        <v>15</v>
      </c>
      <c r="K344">
        <v>-10.5</v>
      </c>
      <c r="L344" s="9">
        <v>-1</v>
      </c>
      <c r="M344">
        <v>0</v>
      </c>
      <c r="N344">
        <f t="shared" si="10"/>
        <v>2</v>
      </c>
      <c r="O344">
        <f t="shared" si="11"/>
        <v>0</v>
      </c>
    </row>
    <row r="345" spans="1:15" x14ac:dyDescent="0.2">
      <c r="A345" s="1">
        <v>45218</v>
      </c>
      <c r="B345">
        <v>4</v>
      </c>
      <c r="C345" t="s">
        <v>13</v>
      </c>
      <c r="D345" s="2">
        <v>0.40555555555555556</v>
      </c>
      <c r="E345">
        <v>14927.7</v>
      </c>
      <c r="F345" s="2">
        <v>0.40972222222222221</v>
      </c>
      <c r="G345">
        <v>14938.15</v>
      </c>
      <c r="H345">
        <v>14938.15</v>
      </c>
      <c r="I345">
        <v>14901.58</v>
      </c>
      <c r="J345" t="s">
        <v>15</v>
      </c>
      <c r="K345">
        <v>-10.45</v>
      </c>
      <c r="L345" s="9">
        <v>-1</v>
      </c>
      <c r="M345">
        <v>0</v>
      </c>
      <c r="N345">
        <f t="shared" si="10"/>
        <v>3</v>
      </c>
      <c r="O345">
        <f t="shared" si="11"/>
        <v>0</v>
      </c>
    </row>
    <row r="346" spans="1:15" x14ac:dyDescent="0.2">
      <c r="A346" s="1">
        <v>45218</v>
      </c>
      <c r="B346">
        <v>4</v>
      </c>
      <c r="C346" t="s">
        <v>16</v>
      </c>
      <c r="D346" s="2">
        <v>0.42708333333333331</v>
      </c>
      <c r="E346">
        <v>14978.15</v>
      </c>
      <c r="F346" s="2">
        <v>0.4284722222222222</v>
      </c>
      <c r="G346">
        <v>14967.67</v>
      </c>
      <c r="H346">
        <v>14967.67</v>
      </c>
      <c r="I346">
        <v>15004.36</v>
      </c>
      <c r="J346" t="s">
        <v>15</v>
      </c>
      <c r="K346">
        <v>-10.48</v>
      </c>
      <c r="L346" s="9">
        <v>-1</v>
      </c>
      <c r="M346">
        <v>0</v>
      </c>
      <c r="N346">
        <f t="shared" si="10"/>
        <v>4</v>
      </c>
      <c r="O346">
        <f t="shared" si="11"/>
        <v>0</v>
      </c>
    </row>
    <row r="347" spans="1:15" x14ac:dyDescent="0.2">
      <c r="A347" s="1">
        <v>45218</v>
      </c>
      <c r="B347">
        <v>4</v>
      </c>
      <c r="C347" t="s">
        <v>13</v>
      </c>
      <c r="D347" s="2">
        <v>0.44027777777777777</v>
      </c>
      <c r="E347">
        <v>14901.31</v>
      </c>
      <c r="F347" s="2">
        <v>0.44097222222222221</v>
      </c>
      <c r="G347">
        <v>14911.74</v>
      </c>
      <c r="H347">
        <v>14911.74</v>
      </c>
      <c r="I347">
        <v>14875.23</v>
      </c>
      <c r="J347" t="s">
        <v>15</v>
      </c>
      <c r="K347">
        <v>-10.43</v>
      </c>
      <c r="L347" s="9">
        <v>-1</v>
      </c>
      <c r="M347">
        <v>0</v>
      </c>
      <c r="N347">
        <f t="shared" si="10"/>
        <v>5</v>
      </c>
      <c r="O347">
        <f t="shared" si="11"/>
        <v>0</v>
      </c>
    </row>
    <row r="348" spans="1:15" x14ac:dyDescent="0.2">
      <c r="A348" s="1">
        <v>45219</v>
      </c>
      <c r="B348">
        <v>5</v>
      </c>
      <c r="C348" t="s">
        <v>13</v>
      </c>
      <c r="D348" s="2">
        <v>0.42430555555555555</v>
      </c>
      <c r="E348">
        <v>14716.35</v>
      </c>
      <c r="F348" s="2">
        <v>0.42499999999999999</v>
      </c>
      <c r="G348">
        <v>14690.6</v>
      </c>
      <c r="H348">
        <v>14726.65</v>
      </c>
      <c r="I348">
        <v>14690.6</v>
      </c>
      <c r="J348" t="s">
        <v>14</v>
      </c>
      <c r="K348">
        <v>25.75</v>
      </c>
      <c r="L348" s="9">
        <v>2.5</v>
      </c>
      <c r="M348">
        <v>1</v>
      </c>
      <c r="N348">
        <f t="shared" si="10"/>
        <v>0</v>
      </c>
      <c r="O348">
        <f t="shared" si="11"/>
        <v>1</v>
      </c>
    </row>
    <row r="349" spans="1:15" x14ac:dyDescent="0.2">
      <c r="A349" s="1">
        <v>45222</v>
      </c>
      <c r="B349">
        <v>1</v>
      </c>
      <c r="C349" t="s">
        <v>13</v>
      </c>
      <c r="D349" s="2">
        <v>0.40625</v>
      </c>
      <c r="E349">
        <v>14436.62</v>
      </c>
      <c r="F349" s="2">
        <v>0.40763888888888888</v>
      </c>
      <c r="G349">
        <v>14446.72</v>
      </c>
      <c r="H349">
        <v>14446.72</v>
      </c>
      <c r="I349">
        <v>14411.35</v>
      </c>
      <c r="J349" t="s">
        <v>15</v>
      </c>
      <c r="K349">
        <v>-10.11</v>
      </c>
      <c r="L349" s="9">
        <v>-1</v>
      </c>
      <c r="M349">
        <v>0</v>
      </c>
      <c r="N349">
        <f t="shared" si="10"/>
        <v>1</v>
      </c>
      <c r="O349">
        <f t="shared" si="11"/>
        <v>0</v>
      </c>
    </row>
    <row r="350" spans="1:15" x14ac:dyDescent="0.2">
      <c r="A350" s="1">
        <v>45222</v>
      </c>
      <c r="B350">
        <v>1</v>
      </c>
      <c r="C350" t="s">
        <v>16</v>
      </c>
      <c r="D350" s="2">
        <v>0.41666666666666669</v>
      </c>
      <c r="E350">
        <v>14527.96</v>
      </c>
      <c r="F350" s="2">
        <v>0.41805555555555557</v>
      </c>
      <c r="G350">
        <v>14517.79</v>
      </c>
      <c r="H350">
        <v>14517.79</v>
      </c>
      <c r="I350">
        <v>14553.39</v>
      </c>
      <c r="J350" t="s">
        <v>15</v>
      </c>
      <c r="K350">
        <v>-10.17</v>
      </c>
      <c r="L350" s="9">
        <v>-1</v>
      </c>
      <c r="M350">
        <v>0</v>
      </c>
      <c r="N350">
        <f t="shared" si="10"/>
        <v>2</v>
      </c>
      <c r="O350">
        <f t="shared" si="11"/>
        <v>0</v>
      </c>
    </row>
    <row r="351" spans="1:15" x14ac:dyDescent="0.2">
      <c r="A351" s="1">
        <v>45224</v>
      </c>
      <c r="B351">
        <v>3</v>
      </c>
      <c r="C351" t="s">
        <v>13</v>
      </c>
      <c r="D351" s="2">
        <v>0.39583333333333331</v>
      </c>
      <c r="E351">
        <v>14642.45</v>
      </c>
      <c r="F351" s="2">
        <v>0.39652777777777776</v>
      </c>
      <c r="G351">
        <v>14616.83</v>
      </c>
      <c r="H351">
        <v>14652.7</v>
      </c>
      <c r="I351">
        <v>14616.83</v>
      </c>
      <c r="J351" t="s">
        <v>14</v>
      </c>
      <c r="K351">
        <v>25.62</v>
      </c>
      <c r="L351" s="9">
        <v>2.5</v>
      </c>
      <c r="M351">
        <v>1</v>
      </c>
      <c r="N351">
        <f t="shared" si="10"/>
        <v>0</v>
      </c>
      <c r="O351">
        <f t="shared" si="11"/>
        <v>1</v>
      </c>
    </row>
    <row r="352" spans="1:15" x14ac:dyDescent="0.2">
      <c r="A352" s="1">
        <v>45224</v>
      </c>
      <c r="B352">
        <v>3</v>
      </c>
      <c r="C352" t="s">
        <v>16</v>
      </c>
      <c r="D352" s="2">
        <v>0.4513888888888889</v>
      </c>
      <c r="E352">
        <v>14567.58</v>
      </c>
      <c r="F352" s="2">
        <v>0.45208333333333334</v>
      </c>
      <c r="G352">
        <v>14557.38</v>
      </c>
      <c r="H352">
        <v>14557.38</v>
      </c>
      <c r="I352">
        <v>14593.07</v>
      </c>
      <c r="J352" t="s">
        <v>15</v>
      </c>
      <c r="K352">
        <v>-10.199999999999999</v>
      </c>
      <c r="L352" s="9">
        <v>-1</v>
      </c>
      <c r="M352">
        <v>0</v>
      </c>
      <c r="N352">
        <f t="shared" si="10"/>
        <v>1</v>
      </c>
      <c r="O352">
        <f t="shared" si="11"/>
        <v>0</v>
      </c>
    </row>
    <row r="353" spans="1:15" x14ac:dyDescent="0.2">
      <c r="A353" s="1">
        <v>45225</v>
      </c>
      <c r="B353">
        <v>4</v>
      </c>
      <c r="C353" t="s">
        <v>13</v>
      </c>
      <c r="D353" s="2">
        <v>0.41111111111111109</v>
      </c>
      <c r="E353">
        <v>14272.45</v>
      </c>
      <c r="F353" s="2">
        <v>0.41180555555555554</v>
      </c>
      <c r="G353">
        <v>14247.47</v>
      </c>
      <c r="H353">
        <v>14282.44</v>
      </c>
      <c r="I353">
        <v>14247.47</v>
      </c>
      <c r="J353" t="s">
        <v>14</v>
      </c>
      <c r="K353">
        <v>24.98</v>
      </c>
      <c r="L353" s="9">
        <v>2.5</v>
      </c>
      <c r="M353">
        <v>1</v>
      </c>
      <c r="N353">
        <f t="shared" si="10"/>
        <v>0</v>
      </c>
      <c r="O353">
        <f t="shared" si="11"/>
        <v>1</v>
      </c>
    </row>
    <row r="354" spans="1:15" x14ac:dyDescent="0.2">
      <c r="A354" s="1">
        <v>45225</v>
      </c>
      <c r="B354">
        <v>4</v>
      </c>
      <c r="C354" t="s">
        <v>16</v>
      </c>
      <c r="D354" s="2">
        <v>0.45416666666666666</v>
      </c>
      <c r="E354">
        <v>14282.49</v>
      </c>
      <c r="F354" s="2">
        <v>0.4548611111111111</v>
      </c>
      <c r="G354">
        <v>14272.49</v>
      </c>
      <c r="H354">
        <v>14272.49</v>
      </c>
      <c r="I354">
        <v>14307.49</v>
      </c>
      <c r="J354" t="s">
        <v>15</v>
      </c>
      <c r="K354">
        <v>-10</v>
      </c>
      <c r="L354" s="9">
        <v>-1</v>
      </c>
      <c r="M354">
        <v>0</v>
      </c>
      <c r="N354">
        <f t="shared" si="10"/>
        <v>1</v>
      </c>
      <c r="O354">
        <f t="shared" si="11"/>
        <v>0</v>
      </c>
    </row>
    <row r="355" spans="1:15" x14ac:dyDescent="0.2">
      <c r="A355" s="1">
        <v>45229</v>
      </c>
      <c r="B355">
        <v>1</v>
      </c>
      <c r="C355" t="s">
        <v>16</v>
      </c>
      <c r="D355" s="2">
        <v>0.40486111111111112</v>
      </c>
      <c r="E355">
        <v>14337.8</v>
      </c>
      <c r="F355" s="2">
        <v>0.40625</v>
      </c>
      <c r="G355">
        <v>14362.89</v>
      </c>
      <c r="H355">
        <v>14327.77</v>
      </c>
      <c r="I355">
        <v>14362.89</v>
      </c>
      <c r="J355" t="s">
        <v>14</v>
      </c>
      <c r="K355">
        <v>25.09</v>
      </c>
      <c r="L355" s="9">
        <v>2.5</v>
      </c>
      <c r="M355">
        <v>1</v>
      </c>
      <c r="N355">
        <f t="shared" si="10"/>
        <v>0</v>
      </c>
      <c r="O355">
        <f t="shared" si="11"/>
        <v>1</v>
      </c>
    </row>
    <row r="356" spans="1:15" x14ac:dyDescent="0.2">
      <c r="A356" s="1">
        <v>45229</v>
      </c>
      <c r="B356">
        <v>1</v>
      </c>
      <c r="C356" t="s">
        <v>13</v>
      </c>
      <c r="D356" s="2">
        <v>0.4284722222222222</v>
      </c>
      <c r="E356">
        <v>14317.84</v>
      </c>
      <c r="F356" s="2">
        <v>0.42916666666666664</v>
      </c>
      <c r="G356">
        <v>14292.79</v>
      </c>
      <c r="H356">
        <v>14327.87</v>
      </c>
      <c r="I356">
        <v>14292.79</v>
      </c>
      <c r="J356" t="s">
        <v>14</v>
      </c>
      <c r="K356">
        <v>25.06</v>
      </c>
      <c r="L356" s="9">
        <v>2.5</v>
      </c>
      <c r="M356">
        <v>1</v>
      </c>
      <c r="N356">
        <f t="shared" si="10"/>
        <v>0</v>
      </c>
      <c r="O356">
        <f t="shared" si="11"/>
        <v>2</v>
      </c>
    </row>
    <row r="357" spans="1:15" x14ac:dyDescent="0.2">
      <c r="A357" s="1">
        <v>45232</v>
      </c>
      <c r="B357">
        <v>4</v>
      </c>
      <c r="C357" t="s">
        <v>13</v>
      </c>
      <c r="D357" s="2">
        <v>0.42083333333333334</v>
      </c>
      <c r="E357">
        <v>14833.03</v>
      </c>
      <c r="F357" s="2">
        <v>0.42222222222222222</v>
      </c>
      <c r="G357">
        <v>14807.07</v>
      </c>
      <c r="H357">
        <v>14843.41</v>
      </c>
      <c r="I357">
        <v>14807.07</v>
      </c>
      <c r="J357" t="s">
        <v>14</v>
      </c>
      <c r="K357">
        <v>25.96</v>
      </c>
      <c r="L357" s="9">
        <v>2.5</v>
      </c>
      <c r="M357">
        <v>1</v>
      </c>
      <c r="N357">
        <f t="shared" si="10"/>
        <v>0</v>
      </c>
      <c r="O357">
        <f t="shared" si="11"/>
        <v>3</v>
      </c>
    </row>
    <row r="358" spans="1:15" x14ac:dyDescent="0.2">
      <c r="A358" s="1">
        <v>45232</v>
      </c>
      <c r="B358">
        <v>4</v>
      </c>
      <c r="C358" t="s">
        <v>16</v>
      </c>
      <c r="D358" s="2">
        <v>0.4465277777777778</v>
      </c>
      <c r="E358">
        <v>14860.22</v>
      </c>
      <c r="F358" s="2">
        <v>0.46111111111111114</v>
      </c>
      <c r="G358">
        <v>14886.23</v>
      </c>
      <c r="H358">
        <v>14849.82</v>
      </c>
      <c r="I358">
        <v>14886.23</v>
      </c>
      <c r="J358" t="s">
        <v>14</v>
      </c>
      <c r="K358">
        <v>26.01</v>
      </c>
      <c r="L358" s="9">
        <v>2.5</v>
      </c>
      <c r="M358">
        <v>1</v>
      </c>
      <c r="N358">
        <f t="shared" si="10"/>
        <v>0</v>
      </c>
      <c r="O358">
        <f t="shared" si="11"/>
        <v>4</v>
      </c>
    </row>
    <row r="359" spans="1:15" x14ac:dyDescent="0.2">
      <c r="A359" s="1">
        <v>45233</v>
      </c>
      <c r="B359">
        <v>5</v>
      </c>
      <c r="C359" t="s">
        <v>16</v>
      </c>
      <c r="D359" s="2">
        <v>0.39861111111111114</v>
      </c>
      <c r="E359">
        <v>14986.75</v>
      </c>
      <c r="F359" s="2">
        <v>0.39930555555555558</v>
      </c>
      <c r="G359">
        <v>14976.26</v>
      </c>
      <c r="H359">
        <v>14976.26</v>
      </c>
      <c r="I359">
        <v>15012.98</v>
      </c>
      <c r="J359" t="s">
        <v>15</v>
      </c>
      <c r="K359">
        <v>-10.49</v>
      </c>
      <c r="L359" s="9">
        <v>-1</v>
      </c>
      <c r="M359">
        <v>0</v>
      </c>
      <c r="N359">
        <f t="shared" si="10"/>
        <v>1</v>
      </c>
      <c r="O359">
        <f t="shared" si="11"/>
        <v>0</v>
      </c>
    </row>
    <row r="360" spans="1:15" x14ac:dyDescent="0.2">
      <c r="A360" s="1">
        <v>45233</v>
      </c>
      <c r="B360">
        <v>5</v>
      </c>
      <c r="C360" t="s">
        <v>13</v>
      </c>
      <c r="D360" s="2">
        <v>0.43402777777777779</v>
      </c>
      <c r="E360">
        <v>15016.65</v>
      </c>
      <c r="F360" s="2">
        <v>0.43472222222222223</v>
      </c>
      <c r="G360">
        <v>14990.37</v>
      </c>
      <c r="H360">
        <v>15027.16</v>
      </c>
      <c r="I360">
        <v>14990.37</v>
      </c>
      <c r="J360" t="s">
        <v>14</v>
      </c>
      <c r="K360">
        <v>26.28</v>
      </c>
      <c r="L360" s="9">
        <v>2.5</v>
      </c>
      <c r="M360">
        <v>1</v>
      </c>
      <c r="N360">
        <f t="shared" si="10"/>
        <v>0</v>
      </c>
      <c r="O360">
        <f t="shared" si="11"/>
        <v>1</v>
      </c>
    </row>
    <row r="361" spans="1:15" x14ac:dyDescent="0.2">
      <c r="A361" s="1">
        <v>45236</v>
      </c>
      <c r="B361">
        <v>1</v>
      </c>
      <c r="C361" t="s">
        <v>13</v>
      </c>
      <c r="D361" s="2">
        <v>0.39583333333333331</v>
      </c>
      <c r="E361">
        <v>15131.67</v>
      </c>
      <c r="F361" s="2">
        <v>0.39652777777777776</v>
      </c>
      <c r="G361">
        <v>15142.26</v>
      </c>
      <c r="H361">
        <v>15142.26</v>
      </c>
      <c r="I361">
        <v>15105.19</v>
      </c>
      <c r="J361" t="s">
        <v>15</v>
      </c>
      <c r="K361">
        <v>-10.59</v>
      </c>
      <c r="L361" s="9">
        <v>-1</v>
      </c>
      <c r="M361">
        <v>0</v>
      </c>
      <c r="N361">
        <f t="shared" si="10"/>
        <v>1</v>
      </c>
      <c r="O361">
        <f t="shared" si="11"/>
        <v>0</v>
      </c>
    </row>
    <row r="362" spans="1:15" x14ac:dyDescent="0.2">
      <c r="A362" s="1">
        <v>45236</v>
      </c>
      <c r="B362">
        <v>1</v>
      </c>
      <c r="C362" t="s">
        <v>13</v>
      </c>
      <c r="D362" s="2">
        <v>0.42708333333333331</v>
      </c>
      <c r="E362">
        <v>15118.36</v>
      </c>
      <c r="F362" s="2">
        <v>0.42777777777777776</v>
      </c>
      <c r="G362">
        <v>15128.94</v>
      </c>
      <c r="H362">
        <v>15128.94</v>
      </c>
      <c r="I362">
        <v>15091.9</v>
      </c>
      <c r="J362" t="s">
        <v>15</v>
      </c>
      <c r="K362">
        <v>-10.58</v>
      </c>
      <c r="L362" s="9">
        <v>-1</v>
      </c>
      <c r="M362">
        <v>0</v>
      </c>
      <c r="N362">
        <f t="shared" si="10"/>
        <v>2</v>
      </c>
      <c r="O362">
        <f t="shared" si="11"/>
        <v>0</v>
      </c>
    </row>
    <row r="363" spans="1:15" x14ac:dyDescent="0.2">
      <c r="A363" s="1">
        <v>45236</v>
      </c>
      <c r="B363">
        <v>1</v>
      </c>
      <c r="C363" t="s">
        <v>16</v>
      </c>
      <c r="D363" s="2">
        <v>0.43958333333333333</v>
      </c>
      <c r="E363">
        <v>15136.15</v>
      </c>
      <c r="F363" s="2">
        <v>0.44444444444444442</v>
      </c>
      <c r="G363">
        <v>15162.64</v>
      </c>
      <c r="H363">
        <v>15125.56</v>
      </c>
      <c r="I363">
        <v>15162.64</v>
      </c>
      <c r="J363" t="s">
        <v>14</v>
      </c>
      <c r="K363">
        <v>26.49</v>
      </c>
      <c r="L363" s="9">
        <v>2.5</v>
      </c>
      <c r="M363">
        <v>1</v>
      </c>
      <c r="N363">
        <f t="shared" si="10"/>
        <v>0</v>
      </c>
      <c r="O363">
        <f t="shared" si="11"/>
        <v>1</v>
      </c>
    </row>
    <row r="364" spans="1:15" x14ac:dyDescent="0.2">
      <c r="A364" s="1">
        <v>45237</v>
      </c>
      <c r="B364">
        <v>2</v>
      </c>
      <c r="C364" t="s">
        <v>16</v>
      </c>
      <c r="D364" s="2">
        <v>0.41666666666666669</v>
      </c>
      <c r="E364">
        <v>15221.85</v>
      </c>
      <c r="F364" s="2">
        <v>0.42152777777777778</v>
      </c>
      <c r="G364">
        <v>15211.19</v>
      </c>
      <c r="H364">
        <v>15211.19</v>
      </c>
      <c r="I364">
        <v>15248.49</v>
      </c>
      <c r="J364" t="s">
        <v>15</v>
      </c>
      <c r="K364">
        <v>-10.66</v>
      </c>
      <c r="L364" s="9">
        <v>-1</v>
      </c>
      <c r="M364">
        <v>0</v>
      </c>
      <c r="N364">
        <f t="shared" si="10"/>
        <v>1</v>
      </c>
      <c r="O364">
        <f t="shared" si="11"/>
        <v>0</v>
      </c>
    </row>
    <row r="365" spans="1:15" x14ac:dyDescent="0.2">
      <c r="A365" s="1">
        <v>45237</v>
      </c>
      <c r="B365">
        <v>2</v>
      </c>
      <c r="C365" t="s">
        <v>16</v>
      </c>
      <c r="D365" s="2">
        <v>0.44166666666666665</v>
      </c>
      <c r="E365">
        <v>15274.02</v>
      </c>
      <c r="F365" s="2">
        <v>0.45069444444444445</v>
      </c>
      <c r="G365">
        <v>15300.75</v>
      </c>
      <c r="H365">
        <v>15263.33</v>
      </c>
      <c r="I365">
        <v>15300.75</v>
      </c>
      <c r="J365" t="s">
        <v>14</v>
      </c>
      <c r="K365">
        <v>26.73</v>
      </c>
      <c r="L365" s="9">
        <v>2.5</v>
      </c>
      <c r="M365">
        <v>1</v>
      </c>
      <c r="N365">
        <f t="shared" si="10"/>
        <v>0</v>
      </c>
      <c r="O365">
        <f t="shared" si="11"/>
        <v>1</v>
      </c>
    </row>
    <row r="366" spans="1:15" x14ac:dyDescent="0.2">
      <c r="A366" s="1">
        <v>45238</v>
      </c>
      <c r="B366">
        <v>3</v>
      </c>
      <c r="C366" t="s">
        <v>16</v>
      </c>
      <c r="D366" s="2">
        <v>0.41388888888888886</v>
      </c>
      <c r="E366">
        <v>15334.71</v>
      </c>
      <c r="F366" s="2">
        <v>0.4152777777777778</v>
      </c>
      <c r="G366">
        <v>15323.97</v>
      </c>
      <c r="H366">
        <v>15323.97</v>
      </c>
      <c r="I366">
        <v>15361.54</v>
      </c>
      <c r="J366" t="s">
        <v>15</v>
      </c>
      <c r="K366">
        <v>-10.73</v>
      </c>
      <c r="L366" s="9">
        <v>-1</v>
      </c>
      <c r="M366">
        <v>0</v>
      </c>
      <c r="N366">
        <f t="shared" si="10"/>
        <v>1</v>
      </c>
      <c r="O366">
        <f t="shared" si="11"/>
        <v>0</v>
      </c>
    </row>
    <row r="367" spans="1:15" x14ac:dyDescent="0.2">
      <c r="A367" s="1">
        <v>45238</v>
      </c>
      <c r="B367">
        <v>3</v>
      </c>
      <c r="C367" t="s">
        <v>13</v>
      </c>
      <c r="D367" s="2">
        <v>0.42916666666666664</v>
      </c>
      <c r="E367">
        <v>15292.46</v>
      </c>
      <c r="F367" s="2">
        <v>0.44097222222222221</v>
      </c>
      <c r="G367">
        <v>15265.7</v>
      </c>
      <c r="H367">
        <v>15303.17</v>
      </c>
      <c r="I367">
        <v>15265.7</v>
      </c>
      <c r="J367" t="s">
        <v>14</v>
      </c>
      <c r="K367">
        <v>26.76</v>
      </c>
      <c r="L367" s="9">
        <v>2.5</v>
      </c>
      <c r="M367">
        <v>1</v>
      </c>
      <c r="N367">
        <f t="shared" si="10"/>
        <v>0</v>
      </c>
      <c r="O367">
        <f t="shared" si="11"/>
        <v>1</v>
      </c>
    </row>
    <row r="368" spans="1:15" x14ac:dyDescent="0.2">
      <c r="A368" s="1">
        <v>45239</v>
      </c>
      <c r="B368">
        <v>4</v>
      </c>
      <c r="C368" t="s">
        <v>13</v>
      </c>
      <c r="D368" s="2">
        <v>0.40277777777777779</v>
      </c>
      <c r="E368">
        <v>15307.86</v>
      </c>
      <c r="F368" s="2">
        <v>0.41111111111111109</v>
      </c>
      <c r="G368">
        <v>15318.57</v>
      </c>
      <c r="H368">
        <v>15318.57</v>
      </c>
      <c r="I368">
        <v>15281.07</v>
      </c>
      <c r="J368" t="s">
        <v>15</v>
      </c>
      <c r="K368">
        <v>-10.72</v>
      </c>
      <c r="L368" s="9">
        <v>-1</v>
      </c>
      <c r="M368">
        <v>0</v>
      </c>
      <c r="N368">
        <f t="shared" si="10"/>
        <v>1</v>
      </c>
      <c r="O368">
        <f t="shared" si="11"/>
        <v>0</v>
      </c>
    </row>
    <row r="369" spans="1:15" x14ac:dyDescent="0.2">
      <c r="A369" s="1">
        <v>45239</v>
      </c>
      <c r="B369">
        <v>4</v>
      </c>
      <c r="C369" t="s">
        <v>13</v>
      </c>
      <c r="D369" s="2">
        <v>0.43819444444444444</v>
      </c>
      <c r="E369">
        <v>15295.13</v>
      </c>
      <c r="F369" s="2">
        <v>0.44305555555555554</v>
      </c>
      <c r="G369">
        <v>15305.84</v>
      </c>
      <c r="H369">
        <v>15305.84</v>
      </c>
      <c r="I369">
        <v>15268.37</v>
      </c>
      <c r="J369" t="s">
        <v>15</v>
      </c>
      <c r="K369">
        <v>-10.71</v>
      </c>
      <c r="L369" s="9">
        <v>-1</v>
      </c>
      <c r="M369">
        <v>0</v>
      </c>
      <c r="N369">
        <f t="shared" si="10"/>
        <v>2</v>
      </c>
      <c r="O369">
        <f t="shared" si="11"/>
        <v>0</v>
      </c>
    </row>
    <row r="370" spans="1:15" x14ac:dyDescent="0.2">
      <c r="A370" s="1">
        <v>45239</v>
      </c>
      <c r="B370">
        <v>4</v>
      </c>
      <c r="C370" t="s">
        <v>16</v>
      </c>
      <c r="D370" s="2">
        <v>0.45555555555555555</v>
      </c>
      <c r="E370">
        <v>15314.59</v>
      </c>
      <c r="F370" s="2">
        <v>0.46180555555555558</v>
      </c>
      <c r="G370">
        <v>15341.39</v>
      </c>
      <c r="H370">
        <v>15303.87</v>
      </c>
      <c r="I370">
        <v>15341.39</v>
      </c>
      <c r="J370" t="s">
        <v>14</v>
      </c>
      <c r="K370">
        <v>26.8</v>
      </c>
      <c r="L370" s="9">
        <v>2.5</v>
      </c>
      <c r="M370">
        <v>1</v>
      </c>
      <c r="N370">
        <f t="shared" si="10"/>
        <v>0</v>
      </c>
      <c r="O370">
        <f t="shared" si="11"/>
        <v>1</v>
      </c>
    </row>
    <row r="371" spans="1:15" x14ac:dyDescent="0.2">
      <c r="A371" s="1">
        <v>45240</v>
      </c>
      <c r="B371">
        <v>5</v>
      </c>
      <c r="C371" t="s">
        <v>16</v>
      </c>
      <c r="D371" s="2">
        <v>0.40694444444444444</v>
      </c>
      <c r="E371">
        <v>15299.72</v>
      </c>
      <c r="F371" s="2">
        <v>0.41666666666666669</v>
      </c>
      <c r="G371">
        <v>15289.01</v>
      </c>
      <c r="H371">
        <v>15289.01</v>
      </c>
      <c r="I371">
        <v>15326.5</v>
      </c>
      <c r="J371" t="s">
        <v>15</v>
      </c>
      <c r="K371">
        <v>-10.71</v>
      </c>
      <c r="L371" s="9">
        <v>-1</v>
      </c>
      <c r="M371">
        <v>0</v>
      </c>
      <c r="N371">
        <f t="shared" si="10"/>
        <v>1</v>
      </c>
      <c r="O371">
        <f t="shared" si="11"/>
        <v>0</v>
      </c>
    </row>
    <row r="372" spans="1:15" x14ac:dyDescent="0.2">
      <c r="A372" s="1">
        <v>45240</v>
      </c>
      <c r="B372">
        <v>5</v>
      </c>
      <c r="C372" t="s">
        <v>16</v>
      </c>
      <c r="D372" s="2">
        <v>0.45555555555555555</v>
      </c>
      <c r="E372">
        <v>15289.76</v>
      </c>
      <c r="F372" s="2">
        <v>0.45833333333333331</v>
      </c>
      <c r="G372">
        <v>15316.52</v>
      </c>
      <c r="H372">
        <v>15279.06</v>
      </c>
      <c r="I372">
        <v>15316.52</v>
      </c>
      <c r="J372" t="s">
        <v>14</v>
      </c>
      <c r="K372">
        <v>26.76</v>
      </c>
      <c r="L372" s="9">
        <v>2.5</v>
      </c>
      <c r="M372">
        <v>1</v>
      </c>
      <c r="N372">
        <f t="shared" si="10"/>
        <v>0</v>
      </c>
      <c r="O372">
        <f t="shared" si="11"/>
        <v>1</v>
      </c>
    </row>
    <row r="373" spans="1:15" x14ac:dyDescent="0.2">
      <c r="A373" s="1">
        <v>45243</v>
      </c>
      <c r="B373">
        <v>1</v>
      </c>
      <c r="C373" t="s">
        <v>13</v>
      </c>
      <c r="D373" s="2">
        <v>0.40347222222222223</v>
      </c>
      <c r="E373">
        <v>15435.38</v>
      </c>
      <c r="F373" s="2">
        <v>0.41249999999999998</v>
      </c>
      <c r="G373">
        <v>15408.37</v>
      </c>
      <c r="H373">
        <v>15446.18</v>
      </c>
      <c r="I373">
        <v>15408.37</v>
      </c>
      <c r="J373" t="s">
        <v>14</v>
      </c>
      <c r="K373">
        <v>27.01</v>
      </c>
      <c r="L373" s="9">
        <v>2.5</v>
      </c>
      <c r="M373">
        <v>1</v>
      </c>
      <c r="N373">
        <f t="shared" si="10"/>
        <v>0</v>
      </c>
      <c r="O373">
        <f t="shared" si="11"/>
        <v>2</v>
      </c>
    </row>
    <row r="374" spans="1:15" x14ac:dyDescent="0.2">
      <c r="A374" s="1">
        <v>45243</v>
      </c>
      <c r="B374">
        <v>1</v>
      </c>
      <c r="C374" t="s">
        <v>16</v>
      </c>
      <c r="D374" s="2">
        <v>0.45</v>
      </c>
      <c r="E374">
        <v>15471.2</v>
      </c>
      <c r="F374" s="2">
        <v>0.4513888888888889</v>
      </c>
      <c r="G374">
        <v>15460.37</v>
      </c>
      <c r="H374">
        <v>15460.37</v>
      </c>
      <c r="I374">
        <v>15498.27</v>
      </c>
      <c r="J374" t="s">
        <v>15</v>
      </c>
      <c r="K374">
        <v>-10.83</v>
      </c>
      <c r="L374" s="9">
        <v>-1</v>
      </c>
      <c r="M374">
        <v>0</v>
      </c>
      <c r="N374">
        <f t="shared" si="10"/>
        <v>1</v>
      </c>
      <c r="O374">
        <f t="shared" si="11"/>
        <v>0</v>
      </c>
    </row>
    <row r="375" spans="1:15" x14ac:dyDescent="0.2">
      <c r="A375" s="1">
        <v>45244</v>
      </c>
      <c r="B375">
        <v>2</v>
      </c>
      <c r="C375" t="s">
        <v>16</v>
      </c>
      <c r="D375" s="2">
        <v>0.40416666666666667</v>
      </c>
      <c r="E375">
        <v>15768.08</v>
      </c>
      <c r="F375" s="2">
        <v>0.40625</v>
      </c>
      <c r="G375">
        <v>15795.68</v>
      </c>
      <c r="H375">
        <v>15757.04</v>
      </c>
      <c r="I375">
        <v>15795.68</v>
      </c>
      <c r="J375" t="s">
        <v>14</v>
      </c>
      <c r="K375">
        <v>27.59</v>
      </c>
      <c r="L375" s="9">
        <v>2.5</v>
      </c>
      <c r="M375">
        <v>1</v>
      </c>
      <c r="N375">
        <f t="shared" si="10"/>
        <v>0</v>
      </c>
      <c r="O375">
        <f t="shared" si="11"/>
        <v>1</v>
      </c>
    </row>
    <row r="376" spans="1:15" x14ac:dyDescent="0.2">
      <c r="A376" s="1">
        <v>45244</v>
      </c>
      <c r="B376">
        <v>2</v>
      </c>
      <c r="C376" t="s">
        <v>16</v>
      </c>
      <c r="D376" s="2">
        <v>0.44097222222222221</v>
      </c>
      <c r="E376">
        <v>15821.25</v>
      </c>
      <c r="F376" s="2">
        <v>0.45555555555555555</v>
      </c>
      <c r="G376">
        <v>15810.18</v>
      </c>
      <c r="H376">
        <v>15810.18</v>
      </c>
      <c r="I376">
        <v>15848.94</v>
      </c>
      <c r="J376" t="s">
        <v>15</v>
      </c>
      <c r="K376">
        <v>-11.07</v>
      </c>
      <c r="L376" s="9">
        <v>-1</v>
      </c>
      <c r="M376">
        <v>0</v>
      </c>
      <c r="N376">
        <f t="shared" si="10"/>
        <v>1</v>
      </c>
      <c r="O376">
        <f t="shared" si="11"/>
        <v>0</v>
      </c>
    </row>
    <row r="377" spans="1:15" x14ac:dyDescent="0.2">
      <c r="A377" s="1">
        <v>45245</v>
      </c>
      <c r="B377">
        <v>3</v>
      </c>
      <c r="C377" t="s">
        <v>13</v>
      </c>
      <c r="D377" s="2">
        <v>0.41388888888888886</v>
      </c>
      <c r="E377">
        <v>15846.81</v>
      </c>
      <c r="F377" s="2">
        <v>0.42152777777777778</v>
      </c>
      <c r="G377">
        <v>15857.9</v>
      </c>
      <c r="H377">
        <v>15857.9</v>
      </c>
      <c r="I377">
        <v>15819.07</v>
      </c>
      <c r="J377" t="s">
        <v>15</v>
      </c>
      <c r="K377">
        <v>-11.09</v>
      </c>
      <c r="L377" s="9">
        <v>-1</v>
      </c>
      <c r="M377">
        <v>0</v>
      </c>
      <c r="N377">
        <f t="shared" si="10"/>
        <v>2</v>
      </c>
      <c r="O377">
        <f t="shared" si="11"/>
        <v>0</v>
      </c>
    </row>
    <row r="378" spans="1:15" x14ac:dyDescent="0.2">
      <c r="A378" s="1">
        <v>45245</v>
      </c>
      <c r="B378">
        <v>3</v>
      </c>
      <c r="C378" t="s">
        <v>16</v>
      </c>
      <c r="D378" s="2">
        <v>0.43541666666666667</v>
      </c>
      <c r="E378">
        <v>15883.68</v>
      </c>
      <c r="F378" s="2">
        <v>0.43680555555555556</v>
      </c>
      <c r="G378">
        <v>15872.57</v>
      </c>
      <c r="H378">
        <v>15872.57</v>
      </c>
      <c r="I378">
        <v>15911.48</v>
      </c>
      <c r="J378" t="s">
        <v>15</v>
      </c>
      <c r="K378">
        <v>-11.12</v>
      </c>
      <c r="L378" s="9">
        <v>-1</v>
      </c>
      <c r="M378">
        <v>0</v>
      </c>
      <c r="N378">
        <f t="shared" si="10"/>
        <v>3</v>
      </c>
      <c r="O378">
        <f t="shared" si="11"/>
        <v>0</v>
      </c>
    </row>
    <row r="379" spans="1:15" x14ac:dyDescent="0.2">
      <c r="A379" s="1">
        <v>45245</v>
      </c>
      <c r="B379">
        <v>3</v>
      </c>
      <c r="C379" t="s">
        <v>16</v>
      </c>
      <c r="D379" s="2">
        <v>0.45347222222222222</v>
      </c>
      <c r="E379">
        <v>15894.33</v>
      </c>
      <c r="F379" s="2">
        <v>0.45694444444444443</v>
      </c>
      <c r="G379">
        <v>15883.2</v>
      </c>
      <c r="H379">
        <v>15883.2</v>
      </c>
      <c r="I379">
        <v>15922.14</v>
      </c>
      <c r="J379" t="s">
        <v>15</v>
      </c>
      <c r="K379">
        <v>-11.13</v>
      </c>
      <c r="L379" s="9">
        <v>-1</v>
      </c>
      <c r="M379">
        <v>0</v>
      </c>
      <c r="N379">
        <f t="shared" si="10"/>
        <v>4</v>
      </c>
      <c r="O379">
        <f t="shared" si="11"/>
        <v>0</v>
      </c>
    </row>
    <row r="380" spans="1:15" x14ac:dyDescent="0.2">
      <c r="A380" s="1">
        <v>45246</v>
      </c>
      <c r="B380">
        <v>4</v>
      </c>
      <c r="C380" t="s">
        <v>16</v>
      </c>
      <c r="D380" s="2">
        <v>0.41597222222222224</v>
      </c>
      <c r="E380">
        <v>15823.87</v>
      </c>
      <c r="F380" s="2">
        <v>0.42222222222222222</v>
      </c>
      <c r="G380">
        <v>15812.79</v>
      </c>
      <c r="H380">
        <v>15812.79</v>
      </c>
      <c r="I380">
        <v>15851.56</v>
      </c>
      <c r="J380" t="s">
        <v>15</v>
      </c>
      <c r="K380">
        <v>-11.08</v>
      </c>
      <c r="L380" s="9">
        <v>-1</v>
      </c>
      <c r="M380">
        <v>0</v>
      </c>
      <c r="N380">
        <f t="shared" si="10"/>
        <v>5</v>
      </c>
      <c r="O380">
        <f t="shared" si="11"/>
        <v>0</v>
      </c>
    </row>
    <row r="381" spans="1:15" x14ac:dyDescent="0.2">
      <c r="A381" s="1">
        <v>45246</v>
      </c>
      <c r="B381">
        <v>4</v>
      </c>
      <c r="C381" t="s">
        <v>13</v>
      </c>
      <c r="D381" s="2">
        <v>0.44513888888888886</v>
      </c>
      <c r="E381">
        <v>15777.12</v>
      </c>
      <c r="F381" s="2">
        <v>0.44930555555555557</v>
      </c>
      <c r="G381">
        <v>15788.17</v>
      </c>
      <c r="H381">
        <v>15788.17</v>
      </c>
      <c r="I381">
        <v>15749.51</v>
      </c>
      <c r="J381" t="s">
        <v>15</v>
      </c>
      <c r="K381">
        <v>-11.04</v>
      </c>
      <c r="L381" s="9">
        <v>-1</v>
      </c>
      <c r="M381">
        <v>0</v>
      </c>
      <c r="N381">
        <f t="shared" si="10"/>
        <v>6</v>
      </c>
      <c r="O381">
        <f t="shared" si="11"/>
        <v>0</v>
      </c>
    </row>
    <row r="382" spans="1:15" x14ac:dyDescent="0.2">
      <c r="A382" s="1">
        <v>45247</v>
      </c>
      <c r="B382">
        <v>5</v>
      </c>
      <c r="C382" t="s">
        <v>13</v>
      </c>
      <c r="D382" s="2">
        <v>0.39583333333333331</v>
      </c>
      <c r="E382">
        <v>15809.94</v>
      </c>
      <c r="F382" s="2">
        <v>0.40208333333333335</v>
      </c>
      <c r="G382">
        <v>15782.28</v>
      </c>
      <c r="H382">
        <v>15821.01</v>
      </c>
      <c r="I382">
        <v>15782.28</v>
      </c>
      <c r="J382" t="s">
        <v>14</v>
      </c>
      <c r="K382">
        <v>27.67</v>
      </c>
      <c r="L382" s="9">
        <v>2.5</v>
      </c>
      <c r="M382">
        <v>1</v>
      </c>
      <c r="N382">
        <f t="shared" si="10"/>
        <v>0</v>
      </c>
      <c r="O382">
        <f t="shared" si="11"/>
        <v>1</v>
      </c>
    </row>
    <row r="383" spans="1:15" x14ac:dyDescent="0.2">
      <c r="A383" s="1">
        <v>45250</v>
      </c>
      <c r="B383">
        <v>1</v>
      </c>
      <c r="C383" t="s">
        <v>13</v>
      </c>
      <c r="D383" s="2">
        <v>0.39583333333333331</v>
      </c>
      <c r="E383">
        <v>15843.2</v>
      </c>
      <c r="F383" s="2">
        <v>0.39652777777777776</v>
      </c>
      <c r="G383">
        <v>15854.29</v>
      </c>
      <c r="H383">
        <v>15854.29</v>
      </c>
      <c r="I383">
        <v>15815.48</v>
      </c>
      <c r="J383" t="s">
        <v>15</v>
      </c>
      <c r="K383">
        <v>-11.09</v>
      </c>
      <c r="L383" s="9">
        <v>-1</v>
      </c>
      <c r="M383">
        <v>0</v>
      </c>
      <c r="N383">
        <f t="shared" si="10"/>
        <v>1</v>
      </c>
      <c r="O383">
        <f t="shared" si="11"/>
        <v>0</v>
      </c>
    </row>
    <row r="384" spans="1:15" x14ac:dyDescent="0.2">
      <c r="A384" s="1">
        <v>45250</v>
      </c>
      <c r="B384">
        <v>1</v>
      </c>
      <c r="C384" t="s">
        <v>16</v>
      </c>
      <c r="D384" s="2">
        <v>0.40208333333333335</v>
      </c>
      <c r="E384">
        <v>15911</v>
      </c>
      <c r="F384" s="2">
        <v>0.40555555555555556</v>
      </c>
      <c r="G384">
        <v>15899.87</v>
      </c>
      <c r="H384">
        <v>15899.87</v>
      </c>
      <c r="I384">
        <v>15938.85</v>
      </c>
      <c r="J384" t="s">
        <v>15</v>
      </c>
      <c r="K384">
        <v>-11.14</v>
      </c>
      <c r="L384" s="9">
        <v>-1</v>
      </c>
      <c r="M384">
        <v>0</v>
      </c>
      <c r="N384">
        <f t="shared" si="10"/>
        <v>2</v>
      </c>
      <c r="O384">
        <f t="shared" si="11"/>
        <v>0</v>
      </c>
    </row>
    <row r="385" spans="1:15" x14ac:dyDescent="0.2">
      <c r="A385" s="1">
        <v>45250</v>
      </c>
      <c r="B385">
        <v>1</v>
      </c>
      <c r="C385" t="s">
        <v>13</v>
      </c>
      <c r="D385" s="2">
        <v>0.43472222222222223</v>
      </c>
      <c r="E385">
        <v>15895.7</v>
      </c>
      <c r="F385" s="2">
        <v>0.4375</v>
      </c>
      <c r="G385">
        <v>15906.83</v>
      </c>
      <c r="H385">
        <v>15906.83</v>
      </c>
      <c r="I385">
        <v>15867.89</v>
      </c>
      <c r="J385" t="s">
        <v>15</v>
      </c>
      <c r="K385">
        <v>-11.13</v>
      </c>
      <c r="L385" s="9">
        <v>-1</v>
      </c>
      <c r="M385">
        <v>0</v>
      </c>
      <c r="N385">
        <f t="shared" si="10"/>
        <v>3</v>
      </c>
      <c r="O385">
        <f t="shared" si="11"/>
        <v>0</v>
      </c>
    </row>
    <row r="386" spans="1:15" x14ac:dyDescent="0.2">
      <c r="A386" s="1">
        <v>45251</v>
      </c>
      <c r="B386">
        <v>2</v>
      </c>
      <c r="C386" t="s">
        <v>13</v>
      </c>
      <c r="D386" s="2">
        <v>0.41666666666666669</v>
      </c>
      <c r="E386">
        <v>15939.42</v>
      </c>
      <c r="F386" s="2">
        <v>0.43125000000000002</v>
      </c>
      <c r="G386">
        <v>15911.52</v>
      </c>
      <c r="H386">
        <v>15950.58</v>
      </c>
      <c r="I386">
        <v>15911.52</v>
      </c>
      <c r="J386" t="s">
        <v>14</v>
      </c>
      <c r="K386">
        <v>27.89</v>
      </c>
      <c r="L386" s="9">
        <v>2.5</v>
      </c>
      <c r="M386">
        <v>1</v>
      </c>
      <c r="N386">
        <f t="shared" ref="N386:N449" si="12">IF(M386=0, IF(M385=0, N385+1, 1), 0)</f>
        <v>0</v>
      </c>
      <c r="O386">
        <f t="shared" ref="O386:O449" si="13">IF(M386=1, IF(M385=1, O385+1, 1), 0)</f>
        <v>1</v>
      </c>
    </row>
    <row r="387" spans="1:15" x14ac:dyDescent="0.2">
      <c r="A387" s="1">
        <v>45253</v>
      </c>
      <c r="B387">
        <v>4</v>
      </c>
      <c r="C387" t="s">
        <v>13</v>
      </c>
      <c r="D387" s="2">
        <v>0.40138888888888891</v>
      </c>
      <c r="E387">
        <v>16010.69</v>
      </c>
      <c r="F387" s="2">
        <v>0.40347222222222223</v>
      </c>
      <c r="G387">
        <v>16021.9</v>
      </c>
      <c r="H387">
        <v>16021.9</v>
      </c>
      <c r="I387">
        <v>15982.67</v>
      </c>
      <c r="J387" t="s">
        <v>15</v>
      </c>
      <c r="K387">
        <v>-11.21</v>
      </c>
      <c r="L387" s="9">
        <v>-1</v>
      </c>
      <c r="M387">
        <v>0</v>
      </c>
      <c r="N387">
        <f t="shared" si="12"/>
        <v>1</v>
      </c>
      <c r="O387">
        <f t="shared" si="13"/>
        <v>0</v>
      </c>
    </row>
    <row r="388" spans="1:15" x14ac:dyDescent="0.2">
      <c r="A388" s="1">
        <v>45253</v>
      </c>
      <c r="B388">
        <v>4</v>
      </c>
      <c r="C388" t="s">
        <v>13</v>
      </c>
      <c r="D388" s="2">
        <v>0.42083333333333334</v>
      </c>
      <c r="E388">
        <v>16005.49</v>
      </c>
      <c r="F388" s="2">
        <v>0.44861111111111113</v>
      </c>
      <c r="G388">
        <v>16016.69</v>
      </c>
      <c r="H388">
        <v>16016.69</v>
      </c>
      <c r="I388">
        <v>15977.48</v>
      </c>
      <c r="J388" t="s">
        <v>15</v>
      </c>
      <c r="K388">
        <v>-11.2</v>
      </c>
      <c r="L388" s="9">
        <v>-1</v>
      </c>
      <c r="M388">
        <v>0</v>
      </c>
      <c r="N388">
        <f t="shared" si="12"/>
        <v>2</v>
      </c>
      <c r="O388">
        <f t="shared" si="13"/>
        <v>0</v>
      </c>
    </row>
    <row r="389" spans="1:15" x14ac:dyDescent="0.2">
      <c r="A389" s="1">
        <v>45253</v>
      </c>
      <c r="B389">
        <v>4</v>
      </c>
      <c r="C389" t="s">
        <v>16</v>
      </c>
      <c r="D389" s="2">
        <v>0.4548611111111111</v>
      </c>
      <c r="E389">
        <v>16019.01</v>
      </c>
      <c r="F389" s="2">
        <v>0.56111111111111112</v>
      </c>
      <c r="G389">
        <v>16007.8</v>
      </c>
      <c r="H389">
        <v>16007.8</v>
      </c>
      <c r="I389">
        <v>16047.04</v>
      </c>
      <c r="J389" t="s">
        <v>15</v>
      </c>
      <c r="K389">
        <v>-11.21</v>
      </c>
      <c r="L389" s="9">
        <v>-1</v>
      </c>
      <c r="M389">
        <v>0</v>
      </c>
      <c r="N389">
        <f t="shared" si="12"/>
        <v>3</v>
      </c>
      <c r="O389">
        <f t="shared" si="13"/>
        <v>0</v>
      </c>
    </row>
    <row r="390" spans="1:15" x14ac:dyDescent="0.2">
      <c r="A390" s="1">
        <v>45257</v>
      </c>
      <c r="B390">
        <v>1</v>
      </c>
      <c r="C390" t="s">
        <v>16</v>
      </c>
      <c r="D390" s="2">
        <v>0.41944444444444445</v>
      </c>
      <c r="E390">
        <v>15971.79</v>
      </c>
      <c r="F390" s="2">
        <v>0.42291666666666666</v>
      </c>
      <c r="G390">
        <v>15999.74</v>
      </c>
      <c r="H390">
        <v>15960.61</v>
      </c>
      <c r="I390">
        <v>15999.74</v>
      </c>
      <c r="J390" t="s">
        <v>14</v>
      </c>
      <c r="K390">
        <v>27.95</v>
      </c>
      <c r="L390" s="9">
        <v>2.5</v>
      </c>
      <c r="M390">
        <v>1</v>
      </c>
      <c r="N390">
        <f t="shared" si="12"/>
        <v>0</v>
      </c>
      <c r="O390">
        <f t="shared" si="13"/>
        <v>1</v>
      </c>
    </row>
    <row r="391" spans="1:15" x14ac:dyDescent="0.2">
      <c r="A391" s="1">
        <v>45259</v>
      </c>
      <c r="B391">
        <v>3</v>
      </c>
      <c r="C391" t="s">
        <v>16</v>
      </c>
      <c r="D391" s="2">
        <v>0.40208333333333335</v>
      </c>
      <c r="E391">
        <v>16152.95</v>
      </c>
      <c r="F391" s="2">
        <v>0.41875000000000001</v>
      </c>
      <c r="G391">
        <v>16141.64</v>
      </c>
      <c r="H391">
        <v>16141.64</v>
      </c>
      <c r="I391">
        <v>16181.22</v>
      </c>
      <c r="J391" t="s">
        <v>15</v>
      </c>
      <c r="K391">
        <v>-11.31</v>
      </c>
      <c r="L391" s="9">
        <v>-1</v>
      </c>
      <c r="M391">
        <v>0</v>
      </c>
      <c r="N391">
        <f t="shared" si="12"/>
        <v>1</v>
      </c>
      <c r="O391">
        <f t="shared" si="13"/>
        <v>0</v>
      </c>
    </row>
    <row r="392" spans="1:15" x14ac:dyDescent="0.2">
      <c r="A392" s="1">
        <v>45259</v>
      </c>
      <c r="B392">
        <v>3</v>
      </c>
      <c r="C392" t="s">
        <v>13</v>
      </c>
      <c r="D392" s="2">
        <v>0.42499999999999999</v>
      </c>
      <c r="E392">
        <v>16084.57</v>
      </c>
      <c r="F392" s="2">
        <v>0.43055555555555558</v>
      </c>
      <c r="G392">
        <v>16056.42</v>
      </c>
      <c r="H392">
        <v>16095.83</v>
      </c>
      <c r="I392">
        <v>16056.42</v>
      </c>
      <c r="J392" t="s">
        <v>14</v>
      </c>
      <c r="K392">
        <v>28.15</v>
      </c>
      <c r="L392" s="9">
        <v>2.5</v>
      </c>
      <c r="M392">
        <v>1</v>
      </c>
      <c r="N392">
        <f t="shared" si="12"/>
        <v>0</v>
      </c>
      <c r="O392">
        <f t="shared" si="13"/>
        <v>1</v>
      </c>
    </row>
    <row r="393" spans="1:15" x14ac:dyDescent="0.2">
      <c r="A393" s="1">
        <v>45259</v>
      </c>
      <c r="B393">
        <v>3</v>
      </c>
      <c r="C393" t="s">
        <v>13</v>
      </c>
      <c r="D393" s="2">
        <v>0.4465277777777778</v>
      </c>
      <c r="E393">
        <v>16058.58</v>
      </c>
      <c r="F393" s="2">
        <v>0.4513888888888889</v>
      </c>
      <c r="G393">
        <v>16069.82</v>
      </c>
      <c r="H393">
        <v>16069.82</v>
      </c>
      <c r="I393">
        <v>16030.48</v>
      </c>
      <c r="J393" t="s">
        <v>15</v>
      </c>
      <c r="K393">
        <v>-11.24</v>
      </c>
      <c r="L393" s="9">
        <v>-1</v>
      </c>
      <c r="M393">
        <v>0</v>
      </c>
      <c r="N393">
        <f t="shared" si="12"/>
        <v>1</v>
      </c>
      <c r="O393">
        <f t="shared" si="13"/>
        <v>0</v>
      </c>
    </row>
    <row r="394" spans="1:15" x14ac:dyDescent="0.2">
      <c r="A394" s="1">
        <v>45260</v>
      </c>
      <c r="B394">
        <v>4</v>
      </c>
      <c r="C394" t="s">
        <v>13</v>
      </c>
      <c r="D394" s="2">
        <v>0.40555555555555556</v>
      </c>
      <c r="E394">
        <v>15945.34</v>
      </c>
      <c r="F394" s="2">
        <v>0.40763888888888888</v>
      </c>
      <c r="G394">
        <v>15917.43</v>
      </c>
      <c r="H394">
        <v>15956.5</v>
      </c>
      <c r="I394">
        <v>15917.43</v>
      </c>
      <c r="J394" t="s">
        <v>14</v>
      </c>
      <c r="K394">
        <v>27.9</v>
      </c>
      <c r="L394" s="9">
        <v>2.5</v>
      </c>
      <c r="M394">
        <v>1</v>
      </c>
      <c r="N394">
        <f t="shared" si="12"/>
        <v>0</v>
      </c>
      <c r="O394">
        <f t="shared" si="13"/>
        <v>1</v>
      </c>
    </row>
    <row r="395" spans="1:15" x14ac:dyDescent="0.2">
      <c r="A395" s="1">
        <v>45260</v>
      </c>
      <c r="B395">
        <v>4</v>
      </c>
      <c r="C395" t="s">
        <v>13</v>
      </c>
      <c r="D395" s="2">
        <v>0.44722222222222224</v>
      </c>
      <c r="E395">
        <v>15875.56</v>
      </c>
      <c r="F395" s="2">
        <v>0.45763888888888887</v>
      </c>
      <c r="G395">
        <v>15886.67</v>
      </c>
      <c r="H395">
        <v>15886.67</v>
      </c>
      <c r="I395">
        <v>15847.78</v>
      </c>
      <c r="J395" t="s">
        <v>15</v>
      </c>
      <c r="K395">
        <v>-11.11</v>
      </c>
      <c r="L395" s="9">
        <v>-1</v>
      </c>
      <c r="M395">
        <v>0</v>
      </c>
      <c r="N395">
        <f t="shared" si="12"/>
        <v>1</v>
      </c>
      <c r="O395">
        <f t="shared" si="13"/>
        <v>0</v>
      </c>
    </row>
    <row r="396" spans="1:15" x14ac:dyDescent="0.2">
      <c r="A396" s="1">
        <v>45264</v>
      </c>
      <c r="B396">
        <v>1</v>
      </c>
      <c r="C396" t="s">
        <v>13</v>
      </c>
      <c r="D396" s="2">
        <v>0.40833333333333333</v>
      </c>
      <c r="E396">
        <v>15809.69</v>
      </c>
      <c r="F396" s="2">
        <v>0.41180555555555554</v>
      </c>
      <c r="G396">
        <v>15820.76</v>
      </c>
      <c r="H396">
        <v>15820.76</v>
      </c>
      <c r="I396">
        <v>15782.03</v>
      </c>
      <c r="J396" t="s">
        <v>15</v>
      </c>
      <c r="K396">
        <v>-11.07</v>
      </c>
      <c r="L396" s="9">
        <v>-1</v>
      </c>
      <c r="M396">
        <v>0</v>
      </c>
      <c r="N396">
        <f t="shared" si="12"/>
        <v>2</v>
      </c>
      <c r="O396">
        <f t="shared" si="13"/>
        <v>0</v>
      </c>
    </row>
    <row r="397" spans="1:15" x14ac:dyDescent="0.2">
      <c r="A397" s="1">
        <v>45264</v>
      </c>
      <c r="B397">
        <v>1</v>
      </c>
      <c r="C397" t="s">
        <v>13</v>
      </c>
      <c r="D397" s="2">
        <v>0.43055555555555558</v>
      </c>
      <c r="E397">
        <v>15781.81</v>
      </c>
      <c r="F397" s="2">
        <v>0.43194444444444446</v>
      </c>
      <c r="G397">
        <v>15754.19</v>
      </c>
      <c r="H397">
        <v>15792.86</v>
      </c>
      <c r="I397">
        <v>15754.19</v>
      </c>
      <c r="J397" t="s">
        <v>14</v>
      </c>
      <c r="K397">
        <v>27.62</v>
      </c>
      <c r="L397" s="9">
        <v>2.5</v>
      </c>
      <c r="M397">
        <v>1</v>
      </c>
      <c r="N397">
        <f t="shared" si="12"/>
        <v>0</v>
      </c>
      <c r="O397">
        <f t="shared" si="13"/>
        <v>1</v>
      </c>
    </row>
    <row r="398" spans="1:15" x14ac:dyDescent="0.2">
      <c r="A398" s="1">
        <v>45265</v>
      </c>
      <c r="B398">
        <v>2</v>
      </c>
      <c r="C398" t="s">
        <v>16</v>
      </c>
      <c r="D398" s="2">
        <v>0.41041666666666665</v>
      </c>
      <c r="E398">
        <v>15808.29</v>
      </c>
      <c r="F398" s="2">
        <v>0.41666666666666669</v>
      </c>
      <c r="G398">
        <v>15835.95</v>
      </c>
      <c r="H398">
        <v>15797.22</v>
      </c>
      <c r="I398">
        <v>15835.95</v>
      </c>
      <c r="J398" t="s">
        <v>14</v>
      </c>
      <c r="K398">
        <v>27.66</v>
      </c>
      <c r="L398" s="9">
        <v>2.5</v>
      </c>
      <c r="M398">
        <v>1</v>
      </c>
      <c r="N398">
        <f t="shared" si="12"/>
        <v>0</v>
      </c>
      <c r="O398">
        <f t="shared" si="13"/>
        <v>2</v>
      </c>
    </row>
    <row r="399" spans="1:15" x14ac:dyDescent="0.2">
      <c r="A399" s="1">
        <v>45265</v>
      </c>
      <c r="B399">
        <v>2</v>
      </c>
      <c r="C399" t="s">
        <v>16</v>
      </c>
      <c r="D399" s="2">
        <v>0.44513888888888886</v>
      </c>
      <c r="E399">
        <v>15888.14</v>
      </c>
      <c r="F399" s="2">
        <v>0.44861111111111113</v>
      </c>
      <c r="G399">
        <v>15915.94</v>
      </c>
      <c r="H399">
        <v>15877.02</v>
      </c>
      <c r="I399">
        <v>15915.94</v>
      </c>
      <c r="J399" t="s">
        <v>14</v>
      </c>
      <c r="K399">
        <v>27.8</v>
      </c>
      <c r="L399" s="9">
        <v>2.5</v>
      </c>
      <c r="M399">
        <v>1</v>
      </c>
      <c r="N399">
        <f t="shared" si="12"/>
        <v>0</v>
      </c>
      <c r="O399">
        <f t="shared" si="13"/>
        <v>3</v>
      </c>
    </row>
    <row r="400" spans="1:15" x14ac:dyDescent="0.2">
      <c r="A400" s="1">
        <v>45267</v>
      </c>
      <c r="B400">
        <v>4</v>
      </c>
      <c r="C400" t="s">
        <v>16</v>
      </c>
      <c r="D400" s="2">
        <v>0.42916666666666664</v>
      </c>
      <c r="E400">
        <v>15943.21</v>
      </c>
      <c r="F400" s="2">
        <v>0.43194444444444446</v>
      </c>
      <c r="G400">
        <v>15971.11</v>
      </c>
      <c r="H400">
        <v>15932.05</v>
      </c>
      <c r="I400">
        <v>15971.11</v>
      </c>
      <c r="J400" t="s">
        <v>14</v>
      </c>
      <c r="K400">
        <v>27.9</v>
      </c>
      <c r="L400" s="9">
        <v>2.5</v>
      </c>
      <c r="M400">
        <v>1</v>
      </c>
      <c r="N400">
        <f t="shared" si="12"/>
        <v>0</v>
      </c>
      <c r="O400">
        <f t="shared" si="13"/>
        <v>4</v>
      </c>
    </row>
    <row r="401" spans="1:15" x14ac:dyDescent="0.2">
      <c r="A401" s="1">
        <v>45268</v>
      </c>
      <c r="B401">
        <v>5</v>
      </c>
      <c r="C401" t="s">
        <v>16</v>
      </c>
      <c r="D401" s="2">
        <v>0.40625</v>
      </c>
      <c r="E401">
        <v>15987.62</v>
      </c>
      <c r="F401" s="2">
        <v>0.41180555555555554</v>
      </c>
      <c r="G401">
        <v>15976.42</v>
      </c>
      <c r="H401">
        <v>15976.42</v>
      </c>
      <c r="I401">
        <v>16015.59</v>
      </c>
      <c r="J401" t="s">
        <v>15</v>
      </c>
      <c r="K401">
        <v>-11.19</v>
      </c>
      <c r="L401" s="9">
        <v>-1</v>
      </c>
      <c r="M401">
        <v>0</v>
      </c>
      <c r="N401">
        <f t="shared" si="12"/>
        <v>1</v>
      </c>
      <c r="O401">
        <f t="shared" si="13"/>
        <v>0</v>
      </c>
    </row>
    <row r="402" spans="1:15" x14ac:dyDescent="0.2">
      <c r="A402" s="1">
        <v>45268</v>
      </c>
      <c r="B402">
        <v>5</v>
      </c>
      <c r="C402" t="s">
        <v>16</v>
      </c>
      <c r="D402" s="2">
        <v>0.42569444444444443</v>
      </c>
      <c r="E402">
        <v>16060.87</v>
      </c>
      <c r="F402" s="2">
        <v>0.42777777777777776</v>
      </c>
      <c r="G402">
        <v>16088.97</v>
      </c>
      <c r="H402">
        <v>16049.62</v>
      </c>
      <c r="I402">
        <v>16088.97</v>
      </c>
      <c r="J402" t="s">
        <v>14</v>
      </c>
      <c r="K402">
        <v>28.11</v>
      </c>
      <c r="L402" s="9">
        <v>2.5</v>
      </c>
      <c r="M402">
        <v>1</v>
      </c>
      <c r="N402">
        <f t="shared" si="12"/>
        <v>0</v>
      </c>
      <c r="O402">
        <f t="shared" si="13"/>
        <v>1</v>
      </c>
    </row>
    <row r="403" spans="1:15" x14ac:dyDescent="0.2">
      <c r="A403" s="1">
        <v>45271</v>
      </c>
      <c r="B403">
        <v>1</v>
      </c>
      <c r="C403" t="s">
        <v>16</v>
      </c>
      <c r="D403" s="2">
        <v>0.40347222222222223</v>
      </c>
      <c r="E403">
        <v>16113.15</v>
      </c>
      <c r="F403" s="2">
        <v>0.40694444444444444</v>
      </c>
      <c r="G403">
        <v>16141.34</v>
      </c>
      <c r="H403">
        <v>16101.87</v>
      </c>
      <c r="I403">
        <v>16141.34</v>
      </c>
      <c r="J403" t="s">
        <v>14</v>
      </c>
      <c r="K403">
        <v>28.2</v>
      </c>
      <c r="L403" s="9">
        <v>2.5</v>
      </c>
      <c r="M403">
        <v>1</v>
      </c>
      <c r="N403">
        <f t="shared" si="12"/>
        <v>0</v>
      </c>
      <c r="O403">
        <f t="shared" si="13"/>
        <v>2</v>
      </c>
    </row>
    <row r="404" spans="1:15" x14ac:dyDescent="0.2">
      <c r="A404" s="1">
        <v>45271</v>
      </c>
      <c r="B404">
        <v>1</v>
      </c>
      <c r="C404" t="s">
        <v>16</v>
      </c>
      <c r="D404" s="2">
        <v>0.45416666666666666</v>
      </c>
      <c r="E404">
        <v>16178.94</v>
      </c>
      <c r="F404" s="2">
        <v>0.45763888888888887</v>
      </c>
      <c r="G404">
        <v>16167.62</v>
      </c>
      <c r="H404">
        <v>16167.62</v>
      </c>
      <c r="I404">
        <v>16207.26</v>
      </c>
      <c r="J404" t="s">
        <v>15</v>
      </c>
      <c r="K404">
        <v>-11.33</v>
      </c>
      <c r="L404" s="9">
        <v>-1</v>
      </c>
      <c r="M404">
        <v>0</v>
      </c>
      <c r="N404">
        <f t="shared" si="12"/>
        <v>1</v>
      </c>
      <c r="O404">
        <f t="shared" si="13"/>
        <v>0</v>
      </c>
    </row>
    <row r="405" spans="1:15" x14ac:dyDescent="0.2">
      <c r="A405" s="1">
        <v>45272</v>
      </c>
      <c r="B405">
        <v>2</v>
      </c>
      <c r="C405" t="s">
        <v>13</v>
      </c>
      <c r="D405" s="2">
        <v>0.39791666666666664</v>
      </c>
      <c r="E405">
        <v>16207.98</v>
      </c>
      <c r="F405" s="2">
        <v>0.40486111111111112</v>
      </c>
      <c r="G405">
        <v>16179.61</v>
      </c>
      <c r="H405">
        <v>16219.32</v>
      </c>
      <c r="I405">
        <v>16179.61</v>
      </c>
      <c r="J405" t="s">
        <v>14</v>
      </c>
      <c r="K405">
        <v>28.36</v>
      </c>
      <c r="L405" s="9">
        <v>2.5</v>
      </c>
      <c r="M405">
        <v>1</v>
      </c>
      <c r="N405">
        <f t="shared" si="12"/>
        <v>0</v>
      </c>
      <c r="O405">
        <f t="shared" si="13"/>
        <v>1</v>
      </c>
    </row>
    <row r="406" spans="1:15" x14ac:dyDescent="0.2">
      <c r="A406" s="1">
        <v>45272</v>
      </c>
      <c r="B406">
        <v>2</v>
      </c>
      <c r="C406" t="s">
        <v>16</v>
      </c>
      <c r="D406" s="2">
        <v>0.41736111111111113</v>
      </c>
      <c r="E406">
        <v>16236.62</v>
      </c>
      <c r="F406" s="2">
        <v>0.42916666666666664</v>
      </c>
      <c r="G406">
        <v>16265.03</v>
      </c>
      <c r="H406">
        <v>16225.25</v>
      </c>
      <c r="I406">
        <v>16265.03</v>
      </c>
      <c r="J406" t="s">
        <v>14</v>
      </c>
      <c r="K406">
        <v>28.41</v>
      </c>
      <c r="L406" s="9">
        <v>2.5</v>
      </c>
      <c r="M406">
        <v>1</v>
      </c>
      <c r="N406">
        <f t="shared" si="12"/>
        <v>0</v>
      </c>
      <c r="O406">
        <f t="shared" si="13"/>
        <v>2</v>
      </c>
    </row>
    <row r="407" spans="1:15" x14ac:dyDescent="0.2">
      <c r="A407" s="1">
        <v>45272</v>
      </c>
      <c r="B407">
        <v>2</v>
      </c>
      <c r="C407" t="s">
        <v>16</v>
      </c>
      <c r="D407" s="2">
        <v>0.45694444444444443</v>
      </c>
      <c r="E407">
        <v>16261.23</v>
      </c>
      <c r="F407" s="2">
        <v>0.47361111111111109</v>
      </c>
      <c r="G407">
        <v>16289.69</v>
      </c>
      <c r="H407">
        <v>16249.85</v>
      </c>
      <c r="I407">
        <v>16289.69</v>
      </c>
      <c r="J407" t="s">
        <v>14</v>
      </c>
      <c r="K407">
        <v>28.46</v>
      </c>
      <c r="L407" s="9">
        <v>2.5</v>
      </c>
      <c r="M407">
        <v>1</v>
      </c>
      <c r="N407">
        <f t="shared" si="12"/>
        <v>0</v>
      </c>
      <c r="O407">
        <f t="shared" si="13"/>
        <v>3</v>
      </c>
    </row>
    <row r="408" spans="1:15" x14ac:dyDescent="0.2">
      <c r="A408" s="1">
        <v>45274</v>
      </c>
      <c r="B408">
        <v>4</v>
      </c>
      <c r="C408" t="s">
        <v>16</v>
      </c>
      <c r="D408" s="2">
        <v>0.40902777777777777</v>
      </c>
      <c r="E408">
        <v>16641.96</v>
      </c>
      <c r="F408" s="2">
        <v>0.40972222222222221</v>
      </c>
      <c r="G408">
        <v>16630.310000000001</v>
      </c>
      <c r="H408">
        <v>16630.310000000001</v>
      </c>
      <c r="I408">
        <v>16671.09</v>
      </c>
      <c r="J408" t="s">
        <v>15</v>
      </c>
      <c r="K408">
        <v>-11.65</v>
      </c>
      <c r="L408" s="9">
        <v>-1</v>
      </c>
      <c r="M408">
        <v>0</v>
      </c>
      <c r="N408">
        <f t="shared" si="12"/>
        <v>1</v>
      </c>
      <c r="O408">
        <f t="shared" si="13"/>
        <v>0</v>
      </c>
    </row>
    <row r="409" spans="1:15" x14ac:dyDescent="0.2">
      <c r="A409" s="1">
        <v>45274</v>
      </c>
      <c r="B409">
        <v>4</v>
      </c>
      <c r="C409" t="s">
        <v>13</v>
      </c>
      <c r="D409" s="2">
        <v>0.42291666666666666</v>
      </c>
      <c r="E409">
        <v>16598.669999999998</v>
      </c>
      <c r="F409" s="2">
        <v>0.4236111111111111</v>
      </c>
      <c r="G409">
        <v>16610.29</v>
      </c>
      <c r="H409">
        <v>16610.29</v>
      </c>
      <c r="I409">
        <v>16569.62</v>
      </c>
      <c r="J409" t="s">
        <v>15</v>
      </c>
      <c r="K409">
        <v>-11.62</v>
      </c>
      <c r="L409" s="9">
        <v>-1</v>
      </c>
      <c r="M409">
        <v>0</v>
      </c>
      <c r="N409">
        <f t="shared" si="12"/>
        <v>2</v>
      </c>
      <c r="O409">
        <f t="shared" si="13"/>
        <v>0</v>
      </c>
    </row>
    <row r="410" spans="1:15" x14ac:dyDescent="0.2">
      <c r="A410" s="1">
        <v>45278</v>
      </c>
      <c r="B410">
        <v>1</v>
      </c>
      <c r="C410" t="s">
        <v>16</v>
      </c>
      <c r="D410" s="2">
        <v>0.4</v>
      </c>
      <c r="E410">
        <v>16652.27</v>
      </c>
      <c r="F410" s="2">
        <v>0.40763888888888888</v>
      </c>
      <c r="G410">
        <v>16640.62</v>
      </c>
      <c r="H410">
        <v>16640.62</v>
      </c>
      <c r="I410">
        <v>16681.41</v>
      </c>
      <c r="J410" t="s">
        <v>15</v>
      </c>
      <c r="K410">
        <v>-11.66</v>
      </c>
      <c r="L410" s="9">
        <v>-1</v>
      </c>
      <c r="M410">
        <v>0</v>
      </c>
      <c r="N410">
        <f t="shared" si="12"/>
        <v>3</v>
      </c>
      <c r="O410">
        <f t="shared" si="13"/>
        <v>0</v>
      </c>
    </row>
    <row r="411" spans="1:15" x14ac:dyDescent="0.2">
      <c r="A411" s="1">
        <v>45278</v>
      </c>
      <c r="B411">
        <v>1</v>
      </c>
      <c r="C411" t="s">
        <v>16</v>
      </c>
      <c r="D411" s="2">
        <v>0.42083333333333334</v>
      </c>
      <c r="E411">
        <v>16679.009999999998</v>
      </c>
      <c r="F411" s="2">
        <v>0.42499999999999999</v>
      </c>
      <c r="G411">
        <v>16667.34</v>
      </c>
      <c r="H411">
        <v>16667.34</v>
      </c>
      <c r="I411">
        <v>16708.2</v>
      </c>
      <c r="J411" t="s">
        <v>15</v>
      </c>
      <c r="K411">
        <v>-11.68</v>
      </c>
      <c r="L411" s="9">
        <v>-1</v>
      </c>
      <c r="M411">
        <v>0</v>
      </c>
      <c r="N411">
        <f t="shared" si="12"/>
        <v>4</v>
      </c>
      <c r="O411">
        <f t="shared" si="13"/>
        <v>0</v>
      </c>
    </row>
    <row r="412" spans="1:15" x14ac:dyDescent="0.2">
      <c r="A412" s="1">
        <v>45278</v>
      </c>
      <c r="B412">
        <v>1</v>
      </c>
      <c r="C412" t="s">
        <v>13</v>
      </c>
      <c r="D412" s="2">
        <v>0.45694444444444443</v>
      </c>
      <c r="E412">
        <v>16659.650000000001</v>
      </c>
      <c r="F412" s="2">
        <v>0.46666666666666667</v>
      </c>
      <c r="G412">
        <v>16671.310000000001</v>
      </c>
      <c r="H412">
        <v>16671.310000000001</v>
      </c>
      <c r="I412">
        <v>16630.5</v>
      </c>
      <c r="J412" t="s">
        <v>15</v>
      </c>
      <c r="K412">
        <v>-11.66</v>
      </c>
      <c r="L412" s="9">
        <v>-1</v>
      </c>
      <c r="M412">
        <v>0</v>
      </c>
      <c r="N412">
        <f t="shared" si="12"/>
        <v>5</v>
      </c>
      <c r="O412">
        <f t="shared" si="13"/>
        <v>0</v>
      </c>
    </row>
    <row r="413" spans="1:15" x14ac:dyDescent="0.2">
      <c r="A413" s="1">
        <v>45279</v>
      </c>
      <c r="B413">
        <v>2</v>
      </c>
      <c r="C413" t="s">
        <v>16</v>
      </c>
      <c r="D413" s="2">
        <v>0.42986111111111114</v>
      </c>
      <c r="E413">
        <v>16779.28</v>
      </c>
      <c r="F413" s="2">
        <v>0.44374999999999998</v>
      </c>
      <c r="G413">
        <v>16767.54</v>
      </c>
      <c r="H413">
        <v>16767.54</v>
      </c>
      <c r="I413">
        <v>16808.650000000001</v>
      </c>
      <c r="J413" t="s">
        <v>15</v>
      </c>
      <c r="K413">
        <v>-11.75</v>
      </c>
      <c r="L413" s="9">
        <v>-1</v>
      </c>
      <c r="M413">
        <v>0</v>
      </c>
      <c r="N413">
        <f t="shared" si="12"/>
        <v>6</v>
      </c>
      <c r="O413">
        <f t="shared" si="13"/>
        <v>0</v>
      </c>
    </row>
    <row r="414" spans="1:15" x14ac:dyDescent="0.2">
      <c r="A414" s="1">
        <v>45279</v>
      </c>
      <c r="B414">
        <v>2</v>
      </c>
      <c r="C414" t="s">
        <v>13</v>
      </c>
      <c r="D414" s="2">
        <v>0.45</v>
      </c>
      <c r="E414">
        <v>16762.939999999999</v>
      </c>
      <c r="F414" s="2">
        <v>0.45069444444444445</v>
      </c>
      <c r="G414">
        <v>16774.68</v>
      </c>
      <c r="H414">
        <v>16774.68</v>
      </c>
      <c r="I414">
        <v>16733.61</v>
      </c>
      <c r="J414" t="s">
        <v>15</v>
      </c>
      <c r="K414">
        <v>-11.73</v>
      </c>
      <c r="L414" s="9">
        <v>-1</v>
      </c>
      <c r="M414">
        <v>0</v>
      </c>
      <c r="N414">
        <f t="shared" si="12"/>
        <v>7</v>
      </c>
      <c r="O414">
        <f t="shared" si="13"/>
        <v>0</v>
      </c>
    </row>
    <row r="415" spans="1:15" x14ac:dyDescent="0.2">
      <c r="A415" s="1">
        <v>45281</v>
      </c>
      <c r="B415">
        <v>4</v>
      </c>
      <c r="C415" t="s">
        <v>13</v>
      </c>
      <c r="D415" s="2">
        <v>0.41666666666666669</v>
      </c>
      <c r="E415">
        <v>16698.009999999998</v>
      </c>
      <c r="F415" s="2">
        <v>0.42083333333333334</v>
      </c>
      <c r="G415">
        <v>16668.79</v>
      </c>
      <c r="H415">
        <v>16709.7</v>
      </c>
      <c r="I415">
        <v>16668.79</v>
      </c>
      <c r="J415" t="s">
        <v>14</v>
      </c>
      <c r="K415">
        <v>29.22</v>
      </c>
      <c r="L415" s="9">
        <v>2.5</v>
      </c>
      <c r="M415">
        <v>1</v>
      </c>
      <c r="N415">
        <f t="shared" si="12"/>
        <v>0</v>
      </c>
      <c r="O415">
        <f t="shared" si="13"/>
        <v>1</v>
      </c>
    </row>
    <row r="416" spans="1:15" x14ac:dyDescent="0.2">
      <c r="A416" s="1">
        <v>45281</v>
      </c>
      <c r="B416">
        <v>4</v>
      </c>
      <c r="C416" t="s">
        <v>13</v>
      </c>
      <c r="D416" s="2">
        <v>0.4548611111111111</v>
      </c>
      <c r="E416">
        <v>16670.669999999998</v>
      </c>
      <c r="F416" s="2">
        <v>0.45833333333333331</v>
      </c>
      <c r="G416">
        <v>16682.34</v>
      </c>
      <c r="H416">
        <v>16682.34</v>
      </c>
      <c r="I416">
        <v>16641.5</v>
      </c>
      <c r="J416" t="s">
        <v>15</v>
      </c>
      <c r="K416">
        <v>-11.67</v>
      </c>
      <c r="L416" s="9">
        <v>-1</v>
      </c>
      <c r="M416">
        <v>0</v>
      </c>
      <c r="N416">
        <f t="shared" si="12"/>
        <v>1</v>
      </c>
      <c r="O416">
        <f t="shared" si="13"/>
        <v>0</v>
      </c>
    </row>
    <row r="417" spans="1:15" x14ac:dyDescent="0.2">
      <c r="A417" s="1">
        <v>45286</v>
      </c>
      <c r="B417">
        <v>2</v>
      </c>
      <c r="C417" t="s">
        <v>16</v>
      </c>
      <c r="D417" s="2">
        <v>0.40069444444444446</v>
      </c>
      <c r="E417">
        <v>16831.580000000002</v>
      </c>
      <c r="F417" s="2">
        <v>0.44374999999999998</v>
      </c>
      <c r="G417">
        <v>16861.04</v>
      </c>
      <c r="H417">
        <v>16819.8</v>
      </c>
      <c r="I417">
        <v>16861.04</v>
      </c>
      <c r="J417" t="s">
        <v>14</v>
      </c>
      <c r="K417">
        <v>29.46</v>
      </c>
      <c r="L417" s="9">
        <v>2.5</v>
      </c>
      <c r="M417">
        <v>1</v>
      </c>
      <c r="N417">
        <f t="shared" si="12"/>
        <v>0</v>
      </c>
      <c r="O417">
        <f t="shared" si="13"/>
        <v>1</v>
      </c>
    </row>
    <row r="418" spans="1:15" x14ac:dyDescent="0.2">
      <c r="A418" s="1">
        <v>45287</v>
      </c>
      <c r="B418">
        <v>3</v>
      </c>
      <c r="C418" t="s">
        <v>16</v>
      </c>
      <c r="D418" s="2">
        <v>0.41666666666666669</v>
      </c>
      <c r="E418">
        <v>16915.82</v>
      </c>
      <c r="F418" s="2">
        <v>0.42152777777777778</v>
      </c>
      <c r="G418">
        <v>16903.98</v>
      </c>
      <c r="H418">
        <v>16903.98</v>
      </c>
      <c r="I418">
        <v>16945.419999999998</v>
      </c>
      <c r="J418" t="s">
        <v>15</v>
      </c>
      <c r="K418">
        <v>-11.84</v>
      </c>
      <c r="L418" s="9">
        <v>-1</v>
      </c>
      <c r="M418">
        <v>0</v>
      </c>
      <c r="N418">
        <f t="shared" si="12"/>
        <v>1</v>
      </c>
      <c r="O418">
        <f t="shared" si="13"/>
        <v>0</v>
      </c>
    </row>
    <row r="419" spans="1:15" x14ac:dyDescent="0.2">
      <c r="A419" s="1">
        <v>45287</v>
      </c>
      <c r="B419">
        <v>3</v>
      </c>
      <c r="C419" t="s">
        <v>13</v>
      </c>
      <c r="D419" s="2">
        <v>0.42916666666666664</v>
      </c>
      <c r="E419">
        <v>16872.09</v>
      </c>
      <c r="F419" s="2">
        <v>0.43472222222222223</v>
      </c>
      <c r="G419">
        <v>16883.900000000001</v>
      </c>
      <c r="H419">
        <v>16883.900000000001</v>
      </c>
      <c r="I419">
        <v>16842.560000000001</v>
      </c>
      <c r="J419" t="s">
        <v>15</v>
      </c>
      <c r="K419">
        <v>-11.81</v>
      </c>
      <c r="L419" s="9">
        <v>-1</v>
      </c>
      <c r="M419">
        <v>0</v>
      </c>
      <c r="N419">
        <f t="shared" si="12"/>
        <v>2</v>
      </c>
      <c r="O419">
        <f t="shared" si="13"/>
        <v>0</v>
      </c>
    </row>
    <row r="420" spans="1:15" x14ac:dyDescent="0.2">
      <c r="A420" s="1">
        <v>45287</v>
      </c>
      <c r="B420">
        <v>3</v>
      </c>
      <c r="C420" t="s">
        <v>13</v>
      </c>
      <c r="D420" s="2">
        <v>0.44236111111111109</v>
      </c>
      <c r="E420">
        <v>16870.599999999999</v>
      </c>
      <c r="F420" s="2">
        <v>0.48055555555555557</v>
      </c>
      <c r="G420">
        <v>16882.41</v>
      </c>
      <c r="H420">
        <v>16882.41</v>
      </c>
      <c r="I420">
        <v>16841.07</v>
      </c>
      <c r="J420" t="s">
        <v>15</v>
      </c>
      <c r="K420">
        <v>-11.81</v>
      </c>
      <c r="L420" s="9">
        <v>-1</v>
      </c>
      <c r="M420">
        <v>0</v>
      </c>
      <c r="N420">
        <f t="shared" si="12"/>
        <v>3</v>
      </c>
      <c r="O420">
        <f t="shared" si="13"/>
        <v>0</v>
      </c>
    </row>
    <row r="421" spans="1:15" x14ac:dyDescent="0.2">
      <c r="A421" s="1">
        <v>45288</v>
      </c>
      <c r="B421">
        <v>4</v>
      </c>
      <c r="C421" t="s">
        <v>13</v>
      </c>
      <c r="D421" s="2">
        <v>0.40347222222222223</v>
      </c>
      <c r="E421">
        <v>16943.099999999999</v>
      </c>
      <c r="F421" s="2">
        <v>0.45069444444444445</v>
      </c>
      <c r="G421">
        <v>16954.96</v>
      </c>
      <c r="H421">
        <v>16954.96</v>
      </c>
      <c r="I421">
        <v>16913.45</v>
      </c>
      <c r="J421" t="s">
        <v>15</v>
      </c>
      <c r="K421">
        <v>-11.86</v>
      </c>
      <c r="L421" s="9">
        <v>-1</v>
      </c>
      <c r="M421">
        <v>0</v>
      </c>
      <c r="N421">
        <f t="shared" si="12"/>
        <v>4</v>
      </c>
      <c r="O421">
        <f t="shared" si="13"/>
        <v>0</v>
      </c>
    </row>
    <row r="422" spans="1:15" x14ac:dyDescent="0.2">
      <c r="A422" s="1">
        <v>45288</v>
      </c>
      <c r="B422">
        <v>4</v>
      </c>
      <c r="C422" t="s">
        <v>16</v>
      </c>
      <c r="D422" s="2">
        <v>0.45277777777777778</v>
      </c>
      <c r="E422">
        <v>16953.63</v>
      </c>
      <c r="F422" s="2">
        <v>0.45624999999999999</v>
      </c>
      <c r="G422">
        <v>16941.759999999998</v>
      </c>
      <c r="H422">
        <v>16941.759999999998</v>
      </c>
      <c r="I422">
        <v>16983.3</v>
      </c>
      <c r="J422" t="s">
        <v>15</v>
      </c>
      <c r="K422">
        <v>-11.87</v>
      </c>
      <c r="L422" s="9">
        <v>-1</v>
      </c>
      <c r="M422">
        <v>0</v>
      </c>
      <c r="N422">
        <f t="shared" si="12"/>
        <v>5</v>
      </c>
      <c r="O422">
        <f t="shared" si="13"/>
        <v>0</v>
      </c>
    </row>
    <row r="423" spans="1:15" x14ac:dyDescent="0.2">
      <c r="A423" s="1">
        <v>45289</v>
      </c>
      <c r="B423">
        <v>5</v>
      </c>
      <c r="C423" t="s">
        <v>16</v>
      </c>
      <c r="D423" s="2">
        <v>0.4152777777777778</v>
      </c>
      <c r="E423">
        <v>16916.66</v>
      </c>
      <c r="F423" s="2">
        <v>0.41666666666666669</v>
      </c>
      <c r="G423">
        <v>16904.82</v>
      </c>
      <c r="H423">
        <v>16904.82</v>
      </c>
      <c r="I423">
        <v>16946.27</v>
      </c>
      <c r="J423" t="s">
        <v>15</v>
      </c>
      <c r="K423">
        <v>-11.84</v>
      </c>
      <c r="L423" s="9">
        <v>-1</v>
      </c>
      <c r="M423">
        <v>0</v>
      </c>
      <c r="N423">
        <f t="shared" si="12"/>
        <v>6</v>
      </c>
      <c r="O423">
        <f t="shared" si="13"/>
        <v>0</v>
      </c>
    </row>
    <row r="424" spans="1:15" x14ac:dyDescent="0.2">
      <c r="A424" s="1">
        <v>45289</v>
      </c>
      <c r="B424">
        <v>5</v>
      </c>
      <c r="C424" t="s">
        <v>13</v>
      </c>
      <c r="D424" s="2">
        <v>0.43333333333333335</v>
      </c>
      <c r="E424">
        <v>16902.88</v>
      </c>
      <c r="F424" s="2">
        <v>0.44513888888888886</v>
      </c>
      <c r="G424">
        <v>16873.3</v>
      </c>
      <c r="H424">
        <v>16914.71</v>
      </c>
      <c r="I424">
        <v>16873.3</v>
      </c>
      <c r="J424" t="s">
        <v>14</v>
      </c>
      <c r="K424">
        <v>29.58</v>
      </c>
      <c r="L424" s="9">
        <v>2.5</v>
      </c>
      <c r="M424">
        <v>1</v>
      </c>
      <c r="N424">
        <f t="shared" si="12"/>
        <v>0</v>
      </c>
      <c r="O424">
        <f t="shared" si="13"/>
        <v>1</v>
      </c>
    </row>
    <row r="425" spans="1:15" x14ac:dyDescent="0.2">
      <c r="A425" s="1">
        <v>45293</v>
      </c>
      <c r="B425">
        <v>2</v>
      </c>
      <c r="C425" t="s">
        <v>13</v>
      </c>
      <c r="D425" s="2">
        <v>0.40694444444444444</v>
      </c>
      <c r="E425">
        <v>16593.060000000001</v>
      </c>
      <c r="F425" s="2">
        <v>0.40833333333333333</v>
      </c>
      <c r="G425">
        <v>16564.02</v>
      </c>
      <c r="H425">
        <v>16604.68</v>
      </c>
      <c r="I425">
        <v>16564.02</v>
      </c>
      <c r="J425" t="s">
        <v>14</v>
      </c>
      <c r="K425">
        <v>29.04</v>
      </c>
      <c r="L425" s="9">
        <v>2.5</v>
      </c>
      <c r="M425">
        <v>1</v>
      </c>
      <c r="N425">
        <f t="shared" si="12"/>
        <v>0</v>
      </c>
      <c r="O425">
        <f t="shared" si="13"/>
        <v>2</v>
      </c>
    </row>
    <row r="426" spans="1:15" x14ac:dyDescent="0.2">
      <c r="A426" s="1">
        <v>45293</v>
      </c>
      <c r="B426">
        <v>2</v>
      </c>
      <c r="C426" t="s">
        <v>13</v>
      </c>
      <c r="D426" s="2">
        <v>0.43958333333333333</v>
      </c>
      <c r="E426">
        <v>16536.12</v>
      </c>
      <c r="F426" s="2">
        <v>0.46111111111111114</v>
      </c>
      <c r="G426">
        <v>16547.7</v>
      </c>
      <c r="H426">
        <v>16547.7</v>
      </c>
      <c r="I426">
        <v>16507.18</v>
      </c>
      <c r="J426" t="s">
        <v>15</v>
      </c>
      <c r="K426">
        <v>-11.58</v>
      </c>
      <c r="L426" s="9">
        <v>-1</v>
      </c>
      <c r="M426">
        <v>0</v>
      </c>
      <c r="N426">
        <f t="shared" si="12"/>
        <v>1</v>
      </c>
      <c r="O426">
        <f t="shared" si="13"/>
        <v>0</v>
      </c>
    </row>
    <row r="427" spans="1:15" x14ac:dyDescent="0.2">
      <c r="A427" s="1">
        <v>45294</v>
      </c>
      <c r="B427">
        <v>3</v>
      </c>
      <c r="C427" t="s">
        <v>16</v>
      </c>
      <c r="D427" s="2">
        <v>0.40625</v>
      </c>
      <c r="E427">
        <v>16453.12</v>
      </c>
      <c r="F427" s="2">
        <v>0.40694444444444444</v>
      </c>
      <c r="G427">
        <v>16441.61</v>
      </c>
      <c r="H427">
        <v>16441.61</v>
      </c>
      <c r="I427">
        <v>16481.919999999998</v>
      </c>
      <c r="J427" t="s">
        <v>15</v>
      </c>
      <c r="K427">
        <v>-11.52</v>
      </c>
      <c r="L427" s="9">
        <v>-1</v>
      </c>
      <c r="M427">
        <v>0</v>
      </c>
      <c r="N427">
        <f t="shared" si="12"/>
        <v>2</v>
      </c>
      <c r="O427">
        <f t="shared" si="13"/>
        <v>0</v>
      </c>
    </row>
    <row r="428" spans="1:15" x14ac:dyDescent="0.2">
      <c r="A428" s="1">
        <v>45294</v>
      </c>
      <c r="B428">
        <v>3</v>
      </c>
      <c r="C428" t="s">
        <v>13</v>
      </c>
      <c r="D428" s="2">
        <v>0.4284722222222222</v>
      </c>
      <c r="E428">
        <v>16402.099999999999</v>
      </c>
      <c r="F428" s="2">
        <v>0.43541666666666667</v>
      </c>
      <c r="G428">
        <v>16413.580000000002</v>
      </c>
      <c r="H428">
        <v>16413.580000000002</v>
      </c>
      <c r="I428">
        <v>16373.39</v>
      </c>
      <c r="J428" t="s">
        <v>15</v>
      </c>
      <c r="K428">
        <v>-11.48</v>
      </c>
      <c r="L428" s="9">
        <v>-1</v>
      </c>
      <c r="M428">
        <v>0</v>
      </c>
      <c r="N428">
        <f t="shared" si="12"/>
        <v>3</v>
      </c>
      <c r="O428">
        <f t="shared" si="13"/>
        <v>0</v>
      </c>
    </row>
    <row r="429" spans="1:15" x14ac:dyDescent="0.2">
      <c r="A429" s="1">
        <v>45294</v>
      </c>
      <c r="B429">
        <v>3</v>
      </c>
      <c r="C429" t="s">
        <v>13</v>
      </c>
      <c r="D429" s="2">
        <v>0.44583333333333336</v>
      </c>
      <c r="E429">
        <v>16387.07</v>
      </c>
      <c r="F429" s="2">
        <v>0.4465277777777778</v>
      </c>
      <c r="G429">
        <v>16398.55</v>
      </c>
      <c r="H429">
        <v>16398.55</v>
      </c>
      <c r="I429">
        <v>16358.4</v>
      </c>
      <c r="J429" t="s">
        <v>15</v>
      </c>
      <c r="K429">
        <v>-11.47</v>
      </c>
      <c r="L429" s="9">
        <v>-1</v>
      </c>
      <c r="M429">
        <v>0</v>
      </c>
      <c r="N429">
        <f t="shared" si="12"/>
        <v>4</v>
      </c>
      <c r="O429">
        <f t="shared" si="13"/>
        <v>0</v>
      </c>
    </row>
    <row r="430" spans="1:15" x14ac:dyDescent="0.2">
      <c r="A430" s="1">
        <v>45295</v>
      </c>
      <c r="B430">
        <v>4</v>
      </c>
      <c r="C430" t="s">
        <v>13</v>
      </c>
      <c r="D430" s="2">
        <v>0.39583333333333331</v>
      </c>
      <c r="E430">
        <v>16291.15</v>
      </c>
      <c r="F430" s="2">
        <v>0.39652777777777776</v>
      </c>
      <c r="G430">
        <v>16302.56</v>
      </c>
      <c r="H430">
        <v>16302.56</v>
      </c>
      <c r="I430">
        <v>16262.64</v>
      </c>
      <c r="J430" t="s">
        <v>15</v>
      </c>
      <c r="K430">
        <v>-11.4</v>
      </c>
      <c r="L430" s="9">
        <v>-1</v>
      </c>
      <c r="M430">
        <v>0</v>
      </c>
      <c r="N430">
        <f t="shared" si="12"/>
        <v>5</v>
      </c>
      <c r="O430">
        <f t="shared" si="13"/>
        <v>0</v>
      </c>
    </row>
    <row r="431" spans="1:15" x14ac:dyDescent="0.2">
      <c r="A431" s="1">
        <v>45295</v>
      </c>
      <c r="B431">
        <v>4</v>
      </c>
      <c r="C431" t="s">
        <v>16</v>
      </c>
      <c r="D431" s="2">
        <v>0.42430555555555555</v>
      </c>
      <c r="E431">
        <v>16340.52</v>
      </c>
      <c r="F431" s="2">
        <v>0.42916666666666664</v>
      </c>
      <c r="G431">
        <v>16369.12</v>
      </c>
      <c r="H431">
        <v>16329.08</v>
      </c>
      <c r="I431">
        <v>16369.12</v>
      </c>
      <c r="J431" t="s">
        <v>14</v>
      </c>
      <c r="K431">
        <v>28.6</v>
      </c>
      <c r="L431" s="9">
        <v>2.5</v>
      </c>
      <c r="M431">
        <v>1</v>
      </c>
      <c r="N431">
        <f t="shared" si="12"/>
        <v>0</v>
      </c>
      <c r="O431">
        <f t="shared" si="13"/>
        <v>1</v>
      </c>
    </row>
    <row r="432" spans="1:15" x14ac:dyDescent="0.2">
      <c r="A432" s="1">
        <v>45295</v>
      </c>
      <c r="B432">
        <v>4</v>
      </c>
      <c r="C432" t="s">
        <v>16</v>
      </c>
      <c r="D432" s="2">
        <v>0.45069444444444445</v>
      </c>
      <c r="E432">
        <v>16363.33</v>
      </c>
      <c r="F432" s="2">
        <v>0.46527777777777779</v>
      </c>
      <c r="G432">
        <v>16391.96</v>
      </c>
      <c r="H432">
        <v>16351.87</v>
      </c>
      <c r="I432">
        <v>16391.96</v>
      </c>
      <c r="J432" t="s">
        <v>14</v>
      </c>
      <c r="K432">
        <v>28.64</v>
      </c>
      <c r="L432" s="9">
        <v>2.5</v>
      </c>
      <c r="M432">
        <v>1</v>
      </c>
      <c r="N432">
        <f t="shared" si="12"/>
        <v>0</v>
      </c>
      <c r="O432">
        <f t="shared" si="13"/>
        <v>2</v>
      </c>
    </row>
    <row r="433" spans="1:15" x14ac:dyDescent="0.2">
      <c r="A433" s="1">
        <v>45296</v>
      </c>
      <c r="B433">
        <v>5</v>
      </c>
      <c r="C433" t="s">
        <v>16</v>
      </c>
      <c r="D433" s="2">
        <v>0.39652777777777776</v>
      </c>
      <c r="E433">
        <v>16289.74</v>
      </c>
      <c r="F433" s="2">
        <v>0.39861111111111114</v>
      </c>
      <c r="G433">
        <v>16318.25</v>
      </c>
      <c r="H433">
        <v>16278.34</v>
      </c>
      <c r="I433">
        <v>16318.25</v>
      </c>
      <c r="J433" t="s">
        <v>14</v>
      </c>
      <c r="K433">
        <v>28.51</v>
      </c>
      <c r="L433" s="9">
        <v>2.5</v>
      </c>
      <c r="M433">
        <v>1</v>
      </c>
      <c r="N433">
        <f t="shared" si="12"/>
        <v>0</v>
      </c>
      <c r="O433">
        <f t="shared" si="13"/>
        <v>3</v>
      </c>
    </row>
    <row r="434" spans="1:15" x14ac:dyDescent="0.2">
      <c r="A434" s="1">
        <v>45296</v>
      </c>
      <c r="B434">
        <v>5</v>
      </c>
      <c r="C434" t="s">
        <v>16</v>
      </c>
      <c r="D434" s="2">
        <v>0.42222222222222222</v>
      </c>
      <c r="E434">
        <v>16383.38</v>
      </c>
      <c r="F434" s="2">
        <v>0.42708333333333331</v>
      </c>
      <c r="G434">
        <v>16371.91</v>
      </c>
      <c r="H434">
        <v>16371.91</v>
      </c>
      <c r="I434">
        <v>16412.05</v>
      </c>
      <c r="J434" t="s">
        <v>15</v>
      </c>
      <c r="K434">
        <v>-11.47</v>
      </c>
      <c r="L434" s="9">
        <v>-1</v>
      </c>
      <c r="M434">
        <v>0</v>
      </c>
      <c r="N434">
        <f t="shared" si="12"/>
        <v>1</v>
      </c>
      <c r="O434">
        <f t="shared" si="13"/>
        <v>0</v>
      </c>
    </row>
    <row r="435" spans="1:15" x14ac:dyDescent="0.2">
      <c r="A435" s="1">
        <v>45296</v>
      </c>
      <c r="B435">
        <v>5</v>
      </c>
      <c r="C435" t="s">
        <v>16</v>
      </c>
      <c r="D435" s="2">
        <v>0.44374999999999998</v>
      </c>
      <c r="E435">
        <v>16402</v>
      </c>
      <c r="F435" s="2">
        <v>0.44444444444444442</v>
      </c>
      <c r="G435">
        <v>16390.52</v>
      </c>
      <c r="H435">
        <v>16390.52</v>
      </c>
      <c r="I435">
        <v>16430.7</v>
      </c>
      <c r="J435" t="s">
        <v>15</v>
      </c>
      <c r="K435">
        <v>-11.48</v>
      </c>
      <c r="L435" s="9">
        <v>-1</v>
      </c>
      <c r="M435">
        <v>0</v>
      </c>
      <c r="N435">
        <f t="shared" si="12"/>
        <v>2</v>
      </c>
      <c r="O435">
        <f t="shared" si="13"/>
        <v>0</v>
      </c>
    </row>
    <row r="436" spans="1:15" x14ac:dyDescent="0.2">
      <c r="A436" s="1">
        <v>45299</v>
      </c>
      <c r="B436">
        <v>1</v>
      </c>
      <c r="C436" t="s">
        <v>16</v>
      </c>
      <c r="D436" s="2">
        <v>0.4</v>
      </c>
      <c r="E436">
        <v>16386.47</v>
      </c>
      <c r="F436" s="2">
        <v>0.40277777777777779</v>
      </c>
      <c r="G436">
        <v>16415.150000000001</v>
      </c>
      <c r="H436">
        <v>16375</v>
      </c>
      <c r="I436">
        <v>16415.150000000001</v>
      </c>
      <c r="J436" t="s">
        <v>14</v>
      </c>
      <c r="K436">
        <v>28.68</v>
      </c>
      <c r="L436" s="9">
        <v>2.5</v>
      </c>
      <c r="M436">
        <v>1</v>
      </c>
      <c r="N436">
        <f t="shared" si="12"/>
        <v>0</v>
      </c>
      <c r="O436">
        <f t="shared" si="13"/>
        <v>1</v>
      </c>
    </row>
    <row r="437" spans="1:15" x14ac:dyDescent="0.2">
      <c r="A437" s="1">
        <v>45300</v>
      </c>
      <c r="B437">
        <v>2</v>
      </c>
      <c r="C437" t="s">
        <v>16</v>
      </c>
      <c r="D437" s="2">
        <v>0.39930555555555558</v>
      </c>
      <c r="E437">
        <v>16542.330000000002</v>
      </c>
      <c r="F437" s="2">
        <v>0.4</v>
      </c>
      <c r="G437">
        <v>16530.75</v>
      </c>
      <c r="H437">
        <v>16530.75</v>
      </c>
      <c r="I437">
        <v>16571.27</v>
      </c>
      <c r="J437" t="s">
        <v>15</v>
      </c>
      <c r="K437">
        <v>-11.58</v>
      </c>
      <c r="L437" s="9">
        <v>-1</v>
      </c>
      <c r="M437">
        <v>0</v>
      </c>
      <c r="N437">
        <f t="shared" si="12"/>
        <v>1</v>
      </c>
      <c r="O437">
        <f t="shared" si="13"/>
        <v>0</v>
      </c>
    </row>
    <row r="438" spans="1:15" x14ac:dyDescent="0.2">
      <c r="A438" s="1">
        <v>45300</v>
      </c>
      <c r="B438">
        <v>2</v>
      </c>
      <c r="C438" t="s">
        <v>16</v>
      </c>
      <c r="D438" s="2">
        <v>0.42708333333333331</v>
      </c>
      <c r="E438">
        <v>16572.34</v>
      </c>
      <c r="F438" s="2">
        <v>0.43888888888888888</v>
      </c>
      <c r="G438">
        <v>16560.740000000002</v>
      </c>
      <c r="H438">
        <v>16560.740000000002</v>
      </c>
      <c r="I438">
        <v>16601.34</v>
      </c>
      <c r="J438" t="s">
        <v>15</v>
      </c>
      <c r="K438">
        <v>-11.6</v>
      </c>
      <c r="L438" s="9">
        <v>-1</v>
      </c>
      <c r="M438">
        <v>0</v>
      </c>
      <c r="N438">
        <f t="shared" si="12"/>
        <v>2</v>
      </c>
      <c r="O438">
        <f t="shared" si="13"/>
        <v>0</v>
      </c>
    </row>
    <row r="439" spans="1:15" x14ac:dyDescent="0.2">
      <c r="A439" s="1">
        <v>45300</v>
      </c>
      <c r="B439">
        <v>2</v>
      </c>
      <c r="C439" t="s">
        <v>16</v>
      </c>
      <c r="D439" s="2">
        <v>0.44791666666666669</v>
      </c>
      <c r="E439">
        <v>16587.53</v>
      </c>
      <c r="F439" s="2">
        <v>0.45416666666666666</v>
      </c>
      <c r="G439">
        <v>16575.919999999998</v>
      </c>
      <c r="H439">
        <v>16575.919999999998</v>
      </c>
      <c r="I439">
        <v>16616.560000000001</v>
      </c>
      <c r="J439" t="s">
        <v>15</v>
      </c>
      <c r="K439">
        <v>-11.61</v>
      </c>
      <c r="L439" s="9">
        <v>-1</v>
      </c>
      <c r="M439">
        <v>0</v>
      </c>
      <c r="N439">
        <f t="shared" si="12"/>
        <v>3</v>
      </c>
      <c r="O439">
        <f t="shared" si="13"/>
        <v>0</v>
      </c>
    </row>
    <row r="440" spans="1:15" x14ac:dyDescent="0.2">
      <c r="A440" s="1">
        <v>45301</v>
      </c>
      <c r="B440">
        <v>3</v>
      </c>
      <c r="C440" t="s">
        <v>16</v>
      </c>
      <c r="D440" s="2">
        <v>0.39861111111111114</v>
      </c>
      <c r="E440">
        <v>16702.07</v>
      </c>
      <c r="F440" s="2">
        <v>0.40763888888888888</v>
      </c>
      <c r="G440">
        <v>16690.38</v>
      </c>
      <c r="H440">
        <v>16690.38</v>
      </c>
      <c r="I440">
        <v>16731.3</v>
      </c>
      <c r="J440" t="s">
        <v>15</v>
      </c>
      <c r="K440">
        <v>-11.69</v>
      </c>
      <c r="L440" s="9">
        <v>-1</v>
      </c>
      <c r="M440">
        <v>0</v>
      </c>
      <c r="N440">
        <f t="shared" si="12"/>
        <v>4</v>
      </c>
      <c r="O440">
        <f t="shared" si="13"/>
        <v>0</v>
      </c>
    </row>
    <row r="441" spans="1:15" x14ac:dyDescent="0.2">
      <c r="A441" s="1">
        <v>45301</v>
      </c>
      <c r="B441">
        <v>3</v>
      </c>
      <c r="C441" t="s">
        <v>13</v>
      </c>
      <c r="D441" s="2">
        <v>0.4152777777777778</v>
      </c>
      <c r="E441">
        <v>16669.66</v>
      </c>
      <c r="F441" s="2">
        <v>0.41597222222222224</v>
      </c>
      <c r="G441">
        <v>16681.330000000002</v>
      </c>
      <c r="H441">
        <v>16681.330000000002</v>
      </c>
      <c r="I441">
        <v>16640.490000000002</v>
      </c>
      <c r="J441" t="s">
        <v>15</v>
      </c>
      <c r="K441">
        <v>-11.67</v>
      </c>
      <c r="L441" s="9">
        <v>-1</v>
      </c>
      <c r="M441">
        <v>0</v>
      </c>
      <c r="N441">
        <f t="shared" si="12"/>
        <v>5</v>
      </c>
      <c r="O441">
        <f t="shared" si="13"/>
        <v>0</v>
      </c>
    </row>
    <row r="442" spans="1:15" x14ac:dyDescent="0.2">
      <c r="A442" s="1">
        <v>45301</v>
      </c>
      <c r="B442">
        <v>3</v>
      </c>
      <c r="C442" t="s">
        <v>16</v>
      </c>
      <c r="D442" s="2">
        <v>0.43888888888888888</v>
      </c>
      <c r="E442">
        <v>16708.18</v>
      </c>
      <c r="F442" s="2">
        <v>0.44791666666666669</v>
      </c>
      <c r="G442">
        <v>16737.419999999998</v>
      </c>
      <c r="H442">
        <v>16696.48</v>
      </c>
      <c r="I442">
        <v>16737.419999999998</v>
      </c>
      <c r="J442" t="s">
        <v>14</v>
      </c>
      <c r="K442">
        <v>29.24</v>
      </c>
      <c r="L442" s="9">
        <v>2.5</v>
      </c>
      <c r="M442">
        <v>1</v>
      </c>
      <c r="N442">
        <f t="shared" si="12"/>
        <v>0</v>
      </c>
      <c r="O442">
        <f t="shared" si="13"/>
        <v>1</v>
      </c>
    </row>
    <row r="443" spans="1:15" x14ac:dyDescent="0.2">
      <c r="A443" s="1">
        <v>45302</v>
      </c>
      <c r="B443">
        <v>4</v>
      </c>
      <c r="C443" t="s">
        <v>16</v>
      </c>
      <c r="D443" s="2">
        <v>0.39583333333333331</v>
      </c>
      <c r="E443">
        <v>16839.34</v>
      </c>
      <c r="F443" s="2">
        <v>0.3972222222222222</v>
      </c>
      <c r="G443">
        <v>16868.810000000001</v>
      </c>
      <c r="H443">
        <v>16827.55</v>
      </c>
      <c r="I443">
        <v>16868.810000000001</v>
      </c>
      <c r="J443" t="s">
        <v>14</v>
      </c>
      <c r="K443">
        <v>29.47</v>
      </c>
      <c r="L443" s="9">
        <v>2.5</v>
      </c>
      <c r="M443">
        <v>1</v>
      </c>
      <c r="N443">
        <f t="shared" si="12"/>
        <v>0</v>
      </c>
      <c r="O443">
        <f t="shared" si="13"/>
        <v>2</v>
      </c>
    </row>
    <row r="444" spans="1:15" x14ac:dyDescent="0.2">
      <c r="A444" s="1">
        <v>45302</v>
      </c>
      <c r="B444">
        <v>4</v>
      </c>
      <c r="C444" t="s">
        <v>13</v>
      </c>
      <c r="D444" s="2">
        <v>0.42430555555555555</v>
      </c>
      <c r="E444">
        <v>16708.66</v>
      </c>
      <c r="F444" s="2">
        <v>0.42916666666666664</v>
      </c>
      <c r="G444">
        <v>16720.36</v>
      </c>
      <c r="H444">
        <v>16720.36</v>
      </c>
      <c r="I444">
        <v>16679.419999999998</v>
      </c>
      <c r="J444" t="s">
        <v>15</v>
      </c>
      <c r="K444">
        <v>-11.7</v>
      </c>
      <c r="L444" s="9">
        <v>-1</v>
      </c>
      <c r="M444">
        <v>0</v>
      </c>
      <c r="N444">
        <f t="shared" si="12"/>
        <v>1</v>
      </c>
      <c r="O444">
        <f t="shared" si="13"/>
        <v>0</v>
      </c>
    </row>
    <row r="445" spans="1:15" x14ac:dyDescent="0.2">
      <c r="A445" s="1">
        <v>45302</v>
      </c>
      <c r="B445">
        <v>4</v>
      </c>
      <c r="C445" t="s">
        <v>16</v>
      </c>
      <c r="D445" s="2">
        <v>0.44513888888888886</v>
      </c>
      <c r="E445">
        <v>16754.23</v>
      </c>
      <c r="F445" s="2">
        <v>0.44583333333333336</v>
      </c>
      <c r="G445">
        <v>16742.509999999998</v>
      </c>
      <c r="H445">
        <v>16742.509999999998</v>
      </c>
      <c r="I445">
        <v>16783.55</v>
      </c>
      <c r="J445" t="s">
        <v>15</v>
      </c>
      <c r="K445">
        <v>-11.73</v>
      </c>
      <c r="L445" s="9">
        <v>-1</v>
      </c>
      <c r="M445">
        <v>0</v>
      </c>
      <c r="N445">
        <f t="shared" si="12"/>
        <v>2</v>
      </c>
      <c r="O445">
        <f t="shared" si="13"/>
        <v>0</v>
      </c>
    </row>
    <row r="446" spans="1:15" x14ac:dyDescent="0.2">
      <c r="A446" s="1">
        <v>45303</v>
      </c>
      <c r="B446">
        <v>5</v>
      </c>
      <c r="C446" t="s">
        <v>16</v>
      </c>
      <c r="D446" s="2">
        <v>0.39583333333333331</v>
      </c>
      <c r="E446">
        <v>16858.669999999998</v>
      </c>
      <c r="F446" s="2">
        <v>0.3972222222222222</v>
      </c>
      <c r="G446">
        <v>16846.87</v>
      </c>
      <c r="H446">
        <v>16846.87</v>
      </c>
      <c r="I446">
        <v>16888.169999999998</v>
      </c>
      <c r="J446" t="s">
        <v>15</v>
      </c>
      <c r="K446">
        <v>-11.8</v>
      </c>
      <c r="L446" s="9">
        <v>-1</v>
      </c>
      <c r="M446">
        <v>0</v>
      </c>
      <c r="N446">
        <f t="shared" si="12"/>
        <v>3</v>
      </c>
      <c r="O446">
        <f t="shared" si="13"/>
        <v>0</v>
      </c>
    </row>
    <row r="447" spans="1:15" x14ac:dyDescent="0.2">
      <c r="A447" s="1">
        <v>45303</v>
      </c>
      <c r="B447">
        <v>5</v>
      </c>
      <c r="C447" t="s">
        <v>13</v>
      </c>
      <c r="D447" s="2">
        <v>0.43125000000000002</v>
      </c>
      <c r="E447">
        <v>16814.29</v>
      </c>
      <c r="F447" s="2">
        <v>0.43333333333333335</v>
      </c>
      <c r="G447">
        <v>16826.060000000001</v>
      </c>
      <c r="H447">
        <v>16826.060000000001</v>
      </c>
      <c r="I447">
        <v>16784.87</v>
      </c>
      <c r="J447" t="s">
        <v>15</v>
      </c>
      <c r="K447">
        <v>-11.77</v>
      </c>
      <c r="L447" s="9">
        <v>-1</v>
      </c>
      <c r="M447">
        <v>0</v>
      </c>
      <c r="N447">
        <f t="shared" si="12"/>
        <v>4</v>
      </c>
      <c r="O447">
        <f t="shared" si="13"/>
        <v>0</v>
      </c>
    </row>
    <row r="448" spans="1:15" x14ac:dyDescent="0.2">
      <c r="A448" s="1">
        <v>45303</v>
      </c>
      <c r="B448">
        <v>5</v>
      </c>
      <c r="C448" t="s">
        <v>13</v>
      </c>
      <c r="D448" s="2">
        <v>0.4548611111111111</v>
      </c>
      <c r="E448">
        <v>16787.990000000002</v>
      </c>
      <c r="F448" s="2">
        <v>0.45555555555555555</v>
      </c>
      <c r="G448">
        <v>16799.740000000002</v>
      </c>
      <c r="H448">
        <v>16799.740000000002</v>
      </c>
      <c r="I448">
        <v>16758.61</v>
      </c>
      <c r="J448" t="s">
        <v>15</v>
      </c>
      <c r="K448">
        <v>-11.75</v>
      </c>
      <c r="L448" s="9">
        <v>-1</v>
      </c>
      <c r="M448">
        <v>0</v>
      </c>
      <c r="N448">
        <f t="shared" si="12"/>
        <v>5</v>
      </c>
      <c r="O448">
        <f t="shared" si="13"/>
        <v>0</v>
      </c>
    </row>
    <row r="449" spans="1:15" x14ac:dyDescent="0.2">
      <c r="A449" s="1">
        <v>45307</v>
      </c>
      <c r="B449">
        <v>2</v>
      </c>
      <c r="C449" t="s">
        <v>16</v>
      </c>
      <c r="D449" s="2">
        <v>0.42708333333333331</v>
      </c>
      <c r="E449">
        <v>16800.09</v>
      </c>
      <c r="F449" s="2">
        <v>0.42916666666666664</v>
      </c>
      <c r="G449">
        <v>16829.490000000002</v>
      </c>
      <c r="H449">
        <v>16788.330000000002</v>
      </c>
      <c r="I449">
        <v>16829.490000000002</v>
      </c>
      <c r="J449" t="s">
        <v>14</v>
      </c>
      <c r="K449">
        <v>29.4</v>
      </c>
      <c r="L449" s="9">
        <v>2.5</v>
      </c>
      <c r="M449">
        <v>1</v>
      </c>
      <c r="N449">
        <f t="shared" si="12"/>
        <v>0</v>
      </c>
      <c r="O449">
        <f t="shared" si="13"/>
        <v>1</v>
      </c>
    </row>
    <row r="450" spans="1:15" x14ac:dyDescent="0.2">
      <c r="A450" s="1">
        <v>45308</v>
      </c>
      <c r="B450">
        <v>3</v>
      </c>
      <c r="C450" t="s">
        <v>13</v>
      </c>
      <c r="D450" s="2">
        <v>0.40138888888888891</v>
      </c>
      <c r="E450">
        <v>16632.97</v>
      </c>
      <c r="F450" s="2">
        <v>0.40555555555555556</v>
      </c>
      <c r="G450">
        <v>16603.86</v>
      </c>
      <c r="H450">
        <v>16644.61</v>
      </c>
      <c r="I450">
        <v>16603.86</v>
      </c>
      <c r="J450" t="s">
        <v>14</v>
      </c>
      <c r="K450">
        <v>29.11</v>
      </c>
      <c r="L450" s="9">
        <v>2.5</v>
      </c>
      <c r="M450">
        <v>1</v>
      </c>
      <c r="N450">
        <f t="shared" ref="N450:N513" si="14">IF(M450=0, IF(M449=0, N449+1, 1), 0)</f>
        <v>0</v>
      </c>
      <c r="O450">
        <f t="shared" ref="O450:O513" si="15">IF(M450=1, IF(M449=1, O449+1, 1), 0)</f>
        <v>2</v>
      </c>
    </row>
    <row r="451" spans="1:15" x14ac:dyDescent="0.2">
      <c r="A451" s="1">
        <v>45308</v>
      </c>
      <c r="B451">
        <v>3</v>
      </c>
      <c r="C451" t="s">
        <v>16</v>
      </c>
      <c r="D451" s="2">
        <v>0.4465277777777778</v>
      </c>
      <c r="E451">
        <v>16641.53</v>
      </c>
      <c r="F451" s="2">
        <v>0.45347222222222222</v>
      </c>
      <c r="G451">
        <v>16629.88</v>
      </c>
      <c r="H451">
        <v>16629.88</v>
      </c>
      <c r="I451">
        <v>16670.650000000001</v>
      </c>
      <c r="J451" t="s">
        <v>15</v>
      </c>
      <c r="K451">
        <v>-11.65</v>
      </c>
      <c r="L451" s="9">
        <v>-1</v>
      </c>
      <c r="M451">
        <v>0</v>
      </c>
      <c r="N451">
        <f t="shared" si="14"/>
        <v>1</v>
      </c>
      <c r="O451">
        <f t="shared" si="15"/>
        <v>0</v>
      </c>
    </row>
    <row r="452" spans="1:15" x14ac:dyDescent="0.2">
      <c r="A452" s="1">
        <v>45309</v>
      </c>
      <c r="B452">
        <v>4</v>
      </c>
      <c r="C452" t="s">
        <v>16</v>
      </c>
      <c r="D452" s="2">
        <v>0.40069444444444446</v>
      </c>
      <c r="E452">
        <v>16903.490000000002</v>
      </c>
      <c r="F452" s="2">
        <v>0.40138888888888891</v>
      </c>
      <c r="G452">
        <v>16891.66</v>
      </c>
      <c r="H452">
        <v>16891.66</v>
      </c>
      <c r="I452">
        <v>16933.07</v>
      </c>
      <c r="J452" t="s">
        <v>15</v>
      </c>
      <c r="K452">
        <v>-11.83</v>
      </c>
      <c r="L452" s="9">
        <v>-1</v>
      </c>
      <c r="M452">
        <v>0</v>
      </c>
      <c r="N452">
        <f t="shared" si="14"/>
        <v>2</v>
      </c>
      <c r="O452">
        <f t="shared" si="15"/>
        <v>0</v>
      </c>
    </row>
    <row r="453" spans="1:15" x14ac:dyDescent="0.2">
      <c r="A453" s="1">
        <v>45309</v>
      </c>
      <c r="B453">
        <v>4</v>
      </c>
      <c r="C453" t="s">
        <v>16</v>
      </c>
      <c r="D453" s="2">
        <v>0.43611111111111112</v>
      </c>
      <c r="E453">
        <v>16899.810000000001</v>
      </c>
      <c r="F453" s="2">
        <v>0.43888888888888888</v>
      </c>
      <c r="G453">
        <v>16887.98</v>
      </c>
      <c r="H453">
        <v>16887.98</v>
      </c>
      <c r="I453">
        <v>16929.39</v>
      </c>
      <c r="J453" t="s">
        <v>15</v>
      </c>
      <c r="K453">
        <v>-11.83</v>
      </c>
      <c r="L453" s="9">
        <v>-1</v>
      </c>
      <c r="M453">
        <v>0</v>
      </c>
      <c r="N453">
        <f t="shared" si="14"/>
        <v>3</v>
      </c>
      <c r="O453">
        <f t="shared" si="15"/>
        <v>0</v>
      </c>
    </row>
    <row r="454" spans="1:15" x14ac:dyDescent="0.2">
      <c r="A454" s="1">
        <v>45310</v>
      </c>
      <c r="B454">
        <v>5</v>
      </c>
      <c r="C454" t="s">
        <v>13</v>
      </c>
      <c r="D454" s="2">
        <v>0.39791666666666664</v>
      </c>
      <c r="E454">
        <v>17058.93</v>
      </c>
      <c r="F454" s="2">
        <v>0.40416666666666667</v>
      </c>
      <c r="G454">
        <v>17070.87</v>
      </c>
      <c r="H454">
        <v>17070.87</v>
      </c>
      <c r="I454">
        <v>17029.080000000002</v>
      </c>
      <c r="J454" t="s">
        <v>15</v>
      </c>
      <c r="K454">
        <v>-11.94</v>
      </c>
      <c r="L454" s="9">
        <v>-1</v>
      </c>
      <c r="M454">
        <v>0</v>
      </c>
      <c r="N454">
        <f t="shared" si="14"/>
        <v>4</v>
      </c>
      <c r="O454">
        <f t="shared" si="15"/>
        <v>0</v>
      </c>
    </row>
    <row r="455" spans="1:15" x14ac:dyDescent="0.2">
      <c r="A455" s="1">
        <v>45310</v>
      </c>
      <c r="B455">
        <v>5</v>
      </c>
      <c r="C455" t="s">
        <v>16</v>
      </c>
      <c r="D455" s="2">
        <v>0.4375</v>
      </c>
      <c r="E455">
        <v>17081.5</v>
      </c>
      <c r="F455" s="2">
        <v>0.43888888888888888</v>
      </c>
      <c r="G455">
        <v>17069.54</v>
      </c>
      <c r="H455">
        <v>17069.54</v>
      </c>
      <c r="I455">
        <v>17111.39</v>
      </c>
      <c r="J455" t="s">
        <v>15</v>
      </c>
      <c r="K455">
        <v>-11.96</v>
      </c>
      <c r="L455" s="9">
        <v>-1</v>
      </c>
      <c r="M455">
        <v>0</v>
      </c>
      <c r="N455">
        <f t="shared" si="14"/>
        <v>5</v>
      </c>
      <c r="O455">
        <f t="shared" si="15"/>
        <v>0</v>
      </c>
    </row>
    <row r="456" spans="1:15" x14ac:dyDescent="0.2">
      <c r="A456" s="1">
        <v>45314</v>
      </c>
      <c r="B456">
        <v>2</v>
      </c>
      <c r="C456" t="s">
        <v>13</v>
      </c>
      <c r="D456" s="2">
        <v>0.4</v>
      </c>
      <c r="E456">
        <v>17313.2</v>
      </c>
      <c r="F456" s="2">
        <v>0.40069444444444446</v>
      </c>
      <c r="G456">
        <v>17325.32</v>
      </c>
      <c r="H456">
        <v>17325.32</v>
      </c>
      <c r="I456">
        <v>17282.900000000001</v>
      </c>
      <c r="J456" t="s">
        <v>15</v>
      </c>
      <c r="K456">
        <v>-12.12</v>
      </c>
      <c r="L456" s="9">
        <v>-1</v>
      </c>
      <c r="M456">
        <v>0</v>
      </c>
      <c r="N456">
        <f t="shared" si="14"/>
        <v>6</v>
      </c>
      <c r="O456">
        <f t="shared" si="15"/>
        <v>0</v>
      </c>
    </row>
    <row r="457" spans="1:15" x14ac:dyDescent="0.2">
      <c r="A457" s="1">
        <v>45314</v>
      </c>
      <c r="B457">
        <v>2</v>
      </c>
      <c r="C457" t="s">
        <v>13</v>
      </c>
      <c r="D457" s="2">
        <v>0.43402777777777779</v>
      </c>
      <c r="E457">
        <v>17319.23</v>
      </c>
      <c r="F457" s="2">
        <v>0.43541666666666667</v>
      </c>
      <c r="G457">
        <v>17331.349999999999</v>
      </c>
      <c r="H457">
        <v>17331.349999999999</v>
      </c>
      <c r="I457">
        <v>17288.919999999998</v>
      </c>
      <c r="J457" t="s">
        <v>15</v>
      </c>
      <c r="K457">
        <v>-12.12</v>
      </c>
      <c r="L457" s="9">
        <v>-1</v>
      </c>
      <c r="M457">
        <v>0</v>
      </c>
      <c r="N457">
        <f t="shared" si="14"/>
        <v>7</v>
      </c>
      <c r="O457">
        <f t="shared" si="15"/>
        <v>0</v>
      </c>
    </row>
    <row r="458" spans="1:15" x14ac:dyDescent="0.2">
      <c r="A458" s="1">
        <v>45315</v>
      </c>
      <c r="B458">
        <v>3</v>
      </c>
      <c r="C458" t="s">
        <v>16</v>
      </c>
      <c r="D458" s="2">
        <v>0.42986111111111114</v>
      </c>
      <c r="E458">
        <v>17577.47</v>
      </c>
      <c r="F458" s="2">
        <v>0.44236111111111109</v>
      </c>
      <c r="G458">
        <v>17608.23</v>
      </c>
      <c r="H458">
        <v>17565.169999999998</v>
      </c>
      <c r="I458">
        <v>17608.23</v>
      </c>
      <c r="J458" t="s">
        <v>14</v>
      </c>
      <c r="K458">
        <v>30.76</v>
      </c>
      <c r="L458" s="9">
        <v>2.5</v>
      </c>
      <c r="M458">
        <v>1</v>
      </c>
      <c r="N458">
        <f t="shared" si="14"/>
        <v>0</v>
      </c>
      <c r="O458">
        <f t="shared" si="15"/>
        <v>1</v>
      </c>
    </row>
    <row r="459" spans="1:15" x14ac:dyDescent="0.2">
      <c r="A459" s="1">
        <v>45316</v>
      </c>
      <c r="B459">
        <v>4</v>
      </c>
      <c r="C459" t="s">
        <v>13</v>
      </c>
      <c r="D459" s="2">
        <v>0.40486111111111112</v>
      </c>
      <c r="E459">
        <v>17573.669999999998</v>
      </c>
      <c r="F459" s="2">
        <v>0.41458333333333336</v>
      </c>
      <c r="G459">
        <v>17542.91</v>
      </c>
      <c r="H459">
        <v>17585.97</v>
      </c>
      <c r="I459">
        <v>17542.91</v>
      </c>
      <c r="J459" t="s">
        <v>14</v>
      </c>
      <c r="K459">
        <v>30.75</v>
      </c>
      <c r="L459" s="9">
        <v>2.5</v>
      </c>
      <c r="M459">
        <v>1</v>
      </c>
      <c r="N459">
        <f t="shared" si="14"/>
        <v>0</v>
      </c>
      <c r="O459">
        <f t="shared" si="15"/>
        <v>2</v>
      </c>
    </row>
    <row r="460" spans="1:15" x14ac:dyDescent="0.2">
      <c r="A460" s="1">
        <v>45316</v>
      </c>
      <c r="B460">
        <v>4</v>
      </c>
      <c r="C460" t="s">
        <v>16</v>
      </c>
      <c r="D460" s="2">
        <v>0.42986111111111114</v>
      </c>
      <c r="E460">
        <v>17583.900000000001</v>
      </c>
      <c r="F460" s="2">
        <v>0.43194444444444446</v>
      </c>
      <c r="G460">
        <v>17614.669999999998</v>
      </c>
      <c r="H460">
        <v>17571.59</v>
      </c>
      <c r="I460">
        <v>17614.669999999998</v>
      </c>
      <c r="J460" t="s">
        <v>14</v>
      </c>
      <c r="K460">
        <v>30.77</v>
      </c>
      <c r="L460" s="9">
        <v>2.5</v>
      </c>
      <c r="M460">
        <v>1</v>
      </c>
      <c r="N460">
        <f t="shared" si="14"/>
        <v>0</v>
      </c>
      <c r="O460">
        <f t="shared" si="15"/>
        <v>3</v>
      </c>
    </row>
    <row r="461" spans="1:15" x14ac:dyDescent="0.2">
      <c r="A461" s="1">
        <v>45317</v>
      </c>
      <c r="B461">
        <v>5</v>
      </c>
      <c r="C461" t="s">
        <v>13</v>
      </c>
      <c r="D461" s="2">
        <v>0.41388888888888886</v>
      </c>
      <c r="E461">
        <v>17413.099999999999</v>
      </c>
      <c r="F461" s="2">
        <v>0.4152777777777778</v>
      </c>
      <c r="G461">
        <v>17425.29</v>
      </c>
      <c r="H461">
        <v>17425.29</v>
      </c>
      <c r="I461">
        <v>17382.63</v>
      </c>
      <c r="J461" t="s">
        <v>15</v>
      </c>
      <c r="K461">
        <v>-12.19</v>
      </c>
      <c r="L461" s="9">
        <v>-1</v>
      </c>
      <c r="M461">
        <v>0</v>
      </c>
      <c r="N461">
        <f t="shared" si="14"/>
        <v>1</v>
      </c>
      <c r="O461">
        <f t="shared" si="15"/>
        <v>0</v>
      </c>
    </row>
    <row r="462" spans="1:15" x14ac:dyDescent="0.2">
      <c r="A462" s="1">
        <v>45317</v>
      </c>
      <c r="B462">
        <v>5</v>
      </c>
      <c r="C462" t="s">
        <v>16</v>
      </c>
      <c r="D462" s="2">
        <v>0.44097222222222221</v>
      </c>
      <c r="E462">
        <v>17479.03</v>
      </c>
      <c r="F462" s="2">
        <v>0.4548611111111111</v>
      </c>
      <c r="G462">
        <v>17509.62</v>
      </c>
      <c r="H462">
        <v>17466.79</v>
      </c>
      <c r="I462">
        <v>17509.62</v>
      </c>
      <c r="J462" t="s">
        <v>14</v>
      </c>
      <c r="K462">
        <v>30.59</v>
      </c>
      <c r="L462" s="9">
        <v>2.5</v>
      </c>
      <c r="M462">
        <v>1</v>
      </c>
      <c r="N462">
        <f t="shared" si="14"/>
        <v>0</v>
      </c>
      <c r="O462">
        <f t="shared" si="15"/>
        <v>1</v>
      </c>
    </row>
    <row r="463" spans="1:15" x14ac:dyDescent="0.2">
      <c r="A463" s="1">
        <v>45320</v>
      </c>
      <c r="B463">
        <v>1</v>
      </c>
      <c r="C463" t="s">
        <v>16</v>
      </c>
      <c r="D463" s="2">
        <v>0.40416666666666667</v>
      </c>
      <c r="E463">
        <v>17462.55</v>
      </c>
      <c r="F463" s="2">
        <v>0.40763888888888888</v>
      </c>
      <c r="G463">
        <v>17450.330000000002</v>
      </c>
      <c r="H463">
        <v>17450.330000000002</v>
      </c>
      <c r="I463">
        <v>17493.11</v>
      </c>
      <c r="J463" t="s">
        <v>15</v>
      </c>
      <c r="K463">
        <v>-12.22</v>
      </c>
      <c r="L463" s="9">
        <v>-1</v>
      </c>
      <c r="M463">
        <v>0</v>
      </c>
      <c r="N463">
        <f t="shared" si="14"/>
        <v>1</v>
      </c>
      <c r="O463">
        <f t="shared" si="15"/>
        <v>0</v>
      </c>
    </row>
    <row r="464" spans="1:15" x14ac:dyDescent="0.2">
      <c r="A464" s="1">
        <v>45320</v>
      </c>
      <c r="B464">
        <v>1</v>
      </c>
      <c r="C464" t="s">
        <v>13</v>
      </c>
      <c r="D464" s="2">
        <v>0.42083333333333334</v>
      </c>
      <c r="E464">
        <v>17429.04</v>
      </c>
      <c r="F464" s="2">
        <v>0.42291666666666666</v>
      </c>
      <c r="G464">
        <v>17441.240000000002</v>
      </c>
      <c r="H464">
        <v>17441.240000000002</v>
      </c>
      <c r="I464">
        <v>17398.54</v>
      </c>
      <c r="J464" t="s">
        <v>15</v>
      </c>
      <c r="K464">
        <v>-12.2</v>
      </c>
      <c r="L464" s="9">
        <v>-1</v>
      </c>
      <c r="M464">
        <v>0</v>
      </c>
      <c r="N464">
        <f t="shared" si="14"/>
        <v>2</v>
      </c>
      <c r="O464">
        <f t="shared" si="15"/>
        <v>0</v>
      </c>
    </row>
    <row r="465" spans="1:15" x14ac:dyDescent="0.2">
      <c r="A465" s="1">
        <v>45320</v>
      </c>
      <c r="B465">
        <v>1</v>
      </c>
      <c r="C465" t="s">
        <v>13</v>
      </c>
      <c r="D465" s="2">
        <v>0.44305555555555554</v>
      </c>
      <c r="E465">
        <v>17426.8</v>
      </c>
      <c r="F465" s="2">
        <v>0.44374999999999998</v>
      </c>
      <c r="G465">
        <v>17439</v>
      </c>
      <c r="H465">
        <v>17439</v>
      </c>
      <c r="I465">
        <v>17396.310000000001</v>
      </c>
      <c r="J465" t="s">
        <v>15</v>
      </c>
      <c r="K465">
        <v>-12.2</v>
      </c>
      <c r="L465" s="9">
        <v>-1</v>
      </c>
      <c r="M465">
        <v>0</v>
      </c>
      <c r="N465">
        <f t="shared" si="14"/>
        <v>3</v>
      </c>
      <c r="O465">
        <f t="shared" si="15"/>
        <v>0</v>
      </c>
    </row>
    <row r="466" spans="1:15" x14ac:dyDescent="0.2">
      <c r="A466" s="1">
        <v>45321</v>
      </c>
      <c r="B466">
        <v>2</v>
      </c>
      <c r="C466" t="s">
        <v>16</v>
      </c>
      <c r="D466" s="2">
        <v>0.40277777777777779</v>
      </c>
      <c r="E466">
        <v>17567.22</v>
      </c>
      <c r="F466" s="2">
        <v>0.41388888888888886</v>
      </c>
      <c r="G466">
        <v>17554.919999999998</v>
      </c>
      <c r="H466">
        <v>17554.919999999998</v>
      </c>
      <c r="I466">
        <v>17597.96</v>
      </c>
      <c r="J466" t="s">
        <v>15</v>
      </c>
      <c r="K466">
        <v>-12.3</v>
      </c>
      <c r="L466" s="9">
        <v>-1</v>
      </c>
      <c r="M466">
        <v>0</v>
      </c>
      <c r="N466">
        <f t="shared" si="14"/>
        <v>4</v>
      </c>
      <c r="O466">
        <f t="shared" si="15"/>
        <v>0</v>
      </c>
    </row>
    <row r="467" spans="1:15" x14ac:dyDescent="0.2">
      <c r="A467" s="1">
        <v>45322</v>
      </c>
      <c r="B467">
        <v>3</v>
      </c>
      <c r="C467" t="s">
        <v>13</v>
      </c>
      <c r="D467" s="2">
        <v>0.40833333333333333</v>
      </c>
      <c r="E467">
        <v>17257.150000000001</v>
      </c>
      <c r="F467" s="2">
        <v>0.40902777777777777</v>
      </c>
      <c r="G467">
        <v>17269.23</v>
      </c>
      <c r="H467">
        <v>17269.23</v>
      </c>
      <c r="I467">
        <v>17226.95</v>
      </c>
      <c r="J467" t="s">
        <v>15</v>
      </c>
      <c r="K467">
        <v>-12.08</v>
      </c>
      <c r="L467" s="9">
        <v>-1</v>
      </c>
      <c r="M467">
        <v>0</v>
      </c>
      <c r="N467">
        <f t="shared" si="14"/>
        <v>5</v>
      </c>
      <c r="O467">
        <f t="shared" si="15"/>
        <v>0</v>
      </c>
    </row>
    <row r="468" spans="1:15" x14ac:dyDescent="0.2">
      <c r="A468" s="1">
        <v>45322</v>
      </c>
      <c r="B468">
        <v>3</v>
      </c>
      <c r="C468" t="s">
        <v>13</v>
      </c>
      <c r="D468" s="2">
        <v>0.42777777777777776</v>
      </c>
      <c r="E468">
        <v>17244.419999999998</v>
      </c>
      <c r="F468" s="2">
        <v>0.43680555555555556</v>
      </c>
      <c r="G468">
        <v>17214.240000000002</v>
      </c>
      <c r="H468">
        <v>17256.490000000002</v>
      </c>
      <c r="I468">
        <v>17214.240000000002</v>
      </c>
      <c r="J468" t="s">
        <v>14</v>
      </c>
      <c r="K468">
        <v>30.18</v>
      </c>
      <c r="L468" s="9">
        <v>2.5</v>
      </c>
      <c r="M468">
        <v>1</v>
      </c>
      <c r="N468">
        <f t="shared" si="14"/>
        <v>0</v>
      </c>
      <c r="O468">
        <f t="shared" si="15"/>
        <v>1</v>
      </c>
    </row>
    <row r="469" spans="1:15" x14ac:dyDescent="0.2">
      <c r="A469" s="1">
        <v>45327</v>
      </c>
      <c r="B469">
        <v>1</v>
      </c>
      <c r="C469" t="s">
        <v>13</v>
      </c>
      <c r="D469" s="2">
        <v>0.4201388888888889</v>
      </c>
      <c r="E469">
        <v>17579.66</v>
      </c>
      <c r="F469" s="2">
        <v>0.42708333333333331</v>
      </c>
      <c r="G469">
        <v>17548.89</v>
      </c>
      <c r="H469">
        <v>17591.96</v>
      </c>
      <c r="I469">
        <v>17548.89</v>
      </c>
      <c r="J469" t="s">
        <v>14</v>
      </c>
      <c r="K469">
        <v>30.76</v>
      </c>
      <c r="L469" s="9">
        <v>2.5</v>
      </c>
      <c r="M469">
        <v>1</v>
      </c>
      <c r="N469">
        <f t="shared" si="14"/>
        <v>0</v>
      </c>
      <c r="O469">
        <f t="shared" si="15"/>
        <v>2</v>
      </c>
    </row>
    <row r="470" spans="1:15" x14ac:dyDescent="0.2">
      <c r="A470" s="1">
        <v>45328</v>
      </c>
      <c r="B470">
        <v>2</v>
      </c>
      <c r="C470" t="s">
        <v>13</v>
      </c>
      <c r="D470" s="2">
        <v>0.41180555555555554</v>
      </c>
      <c r="E470">
        <v>17598.71</v>
      </c>
      <c r="F470" s="2">
        <v>0.41597222222222224</v>
      </c>
      <c r="G470">
        <v>17567.91</v>
      </c>
      <c r="H470">
        <v>17611.03</v>
      </c>
      <c r="I470">
        <v>17567.91</v>
      </c>
      <c r="J470" t="s">
        <v>14</v>
      </c>
      <c r="K470">
        <v>30.8</v>
      </c>
      <c r="L470" s="9">
        <v>2.5</v>
      </c>
      <c r="M470">
        <v>1</v>
      </c>
      <c r="N470">
        <f t="shared" si="14"/>
        <v>0</v>
      </c>
      <c r="O470">
        <f t="shared" si="15"/>
        <v>3</v>
      </c>
    </row>
    <row r="471" spans="1:15" x14ac:dyDescent="0.2">
      <c r="A471" s="1">
        <v>45329</v>
      </c>
      <c r="B471">
        <v>3</v>
      </c>
      <c r="C471" t="s">
        <v>16</v>
      </c>
      <c r="D471" s="2">
        <v>0.39583333333333331</v>
      </c>
      <c r="E471">
        <v>17684.75</v>
      </c>
      <c r="F471" s="2">
        <v>0.39652777777777776</v>
      </c>
      <c r="G471">
        <v>17672.37</v>
      </c>
      <c r="H471">
        <v>17672.37</v>
      </c>
      <c r="I471">
        <v>17715.7</v>
      </c>
      <c r="J471" t="s">
        <v>15</v>
      </c>
      <c r="K471">
        <v>-12.38</v>
      </c>
      <c r="L471" s="9">
        <v>-1</v>
      </c>
      <c r="M471">
        <v>0</v>
      </c>
      <c r="N471">
        <f t="shared" si="14"/>
        <v>1</v>
      </c>
      <c r="O471">
        <f t="shared" si="15"/>
        <v>0</v>
      </c>
    </row>
    <row r="472" spans="1:15" x14ac:dyDescent="0.2">
      <c r="A472" s="1">
        <v>45329</v>
      </c>
      <c r="B472">
        <v>3</v>
      </c>
      <c r="C472" t="s">
        <v>13</v>
      </c>
      <c r="D472" s="2">
        <v>0.40555555555555556</v>
      </c>
      <c r="E472">
        <v>17650.11</v>
      </c>
      <c r="F472" s="2">
        <v>0.40833333333333333</v>
      </c>
      <c r="G472">
        <v>17662.47</v>
      </c>
      <c r="H472">
        <v>17662.47</v>
      </c>
      <c r="I472">
        <v>17619.23</v>
      </c>
      <c r="J472" t="s">
        <v>15</v>
      </c>
      <c r="K472">
        <v>-12.36</v>
      </c>
      <c r="L472" s="9">
        <v>-1</v>
      </c>
      <c r="M472">
        <v>0</v>
      </c>
      <c r="N472">
        <f t="shared" si="14"/>
        <v>2</v>
      </c>
      <c r="O472">
        <f t="shared" si="15"/>
        <v>0</v>
      </c>
    </row>
    <row r="473" spans="1:15" x14ac:dyDescent="0.2">
      <c r="A473" s="1">
        <v>45329</v>
      </c>
      <c r="B473">
        <v>3</v>
      </c>
      <c r="C473" t="s">
        <v>16</v>
      </c>
      <c r="D473" s="2">
        <v>0.42986111111111114</v>
      </c>
      <c r="E473">
        <v>17722.09</v>
      </c>
      <c r="F473" s="2">
        <v>0.43541666666666667</v>
      </c>
      <c r="G473">
        <v>17753.099999999999</v>
      </c>
      <c r="H473">
        <v>17709.68</v>
      </c>
      <c r="I473">
        <v>17753.099999999999</v>
      </c>
      <c r="J473" t="s">
        <v>14</v>
      </c>
      <c r="K473">
        <v>31.01</v>
      </c>
      <c r="L473" s="9">
        <v>2.5</v>
      </c>
      <c r="M473">
        <v>1</v>
      </c>
      <c r="N473">
        <f t="shared" si="14"/>
        <v>0</v>
      </c>
      <c r="O473">
        <f t="shared" si="15"/>
        <v>1</v>
      </c>
    </row>
    <row r="474" spans="1:15" x14ac:dyDescent="0.2">
      <c r="A474" s="1">
        <v>45330</v>
      </c>
      <c r="B474">
        <v>4</v>
      </c>
      <c r="C474" t="s">
        <v>16</v>
      </c>
      <c r="D474" s="2">
        <v>0.39583333333333331</v>
      </c>
      <c r="E474">
        <v>17746.25</v>
      </c>
      <c r="F474" s="2">
        <v>0.40347222222222223</v>
      </c>
      <c r="G474">
        <v>17733.830000000002</v>
      </c>
      <c r="H474">
        <v>17733.830000000002</v>
      </c>
      <c r="I474">
        <v>17777.310000000001</v>
      </c>
      <c r="J474" t="s">
        <v>15</v>
      </c>
      <c r="K474">
        <v>-12.42</v>
      </c>
      <c r="L474" s="9">
        <v>-1</v>
      </c>
      <c r="M474">
        <v>0</v>
      </c>
      <c r="N474">
        <f t="shared" si="14"/>
        <v>1</v>
      </c>
      <c r="O474">
        <f t="shared" si="15"/>
        <v>0</v>
      </c>
    </row>
    <row r="475" spans="1:15" x14ac:dyDescent="0.2">
      <c r="A475" s="1">
        <v>45330</v>
      </c>
      <c r="B475">
        <v>4</v>
      </c>
      <c r="C475" t="s">
        <v>16</v>
      </c>
      <c r="D475" s="2">
        <v>0.41875000000000001</v>
      </c>
      <c r="E475">
        <v>17766.61</v>
      </c>
      <c r="F475" s="2">
        <v>0.42499999999999999</v>
      </c>
      <c r="G475">
        <v>17754.18</v>
      </c>
      <c r="H475">
        <v>17754.18</v>
      </c>
      <c r="I475">
        <v>17797.71</v>
      </c>
      <c r="J475" t="s">
        <v>15</v>
      </c>
      <c r="K475">
        <v>-12.44</v>
      </c>
      <c r="L475" s="9">
        <v>-1</v>
      </c>
      <c r="M475">
        <v>0</v>
      </c>
      <c r="N475">
        <f t="shared" si="14"/>
        <v>2</v>
      </c>
      <c r="O475">
        <f t="shared" si="15"/>
        <v>0</v>
      </c>
    </row>
    <row r="476" spans="1:15" x14ac:dyDescent="0.2">
      <c r="A476" s="1">
        <v>45330</v>
      </c>
      <c r="B476">
        <v>4</v>
      </c>
      <c r="C476" t="s">
        <v>16</v>
      </c>
      <c r="D476" s="2">
        <v>0.45</v>
      </c>
      <c r="E476">
        <v>17777.03</v>
      </c>
      <c r="F476" s="2">
        <v>0.45416666666666666</v>
      </c>
      <c r="G476">
        <v>17808.14</v>
      </c>
      <c r="H476">
        <v>17764.59</v>
      </c>
      <c r="I476">
        <v>17808.14</v>
      </c>
      <c r="J476" t="s">
        <v>14</v>
      </c>
      <c r="K476">
        <v>31.11</v>
      </c>
      <c r="L476" s="9">
        <v>2.5</v>
      </c>
      <c r="M476">
        <v>1</v>
      </c>
      <c r="N476">
        <f t="shared" si="14"/>
        <v>0</v>
      </c>
      <c r="O476">
        <f t="shared" si="15"/>
        <v>1</v>
      </c>
    </row>
    <row r="477" spans="1:15" x14ac:dyDescent="0.2">
      <c r="A477" s="1">
        <v>45331</v>
      </c>
      <c r="B477">
        <v>5</v>
      </c>
      <c r="C477" t="s">
        <v>13</v>
      </c>
      <c r="D477" s="2">
        <v>0.39583333333333331</v>
      </c>
      <c r="E477">
        <v>17827.740000000002</v>
      </c>
      <c r="F477" s="2">
        <v>0.4</v>
      </c>
      <c r="G477">
        <v>17796.54</v>
      </c>
      <c r="H477">
        <v>17840.22</v>
      </c>
      <c r="I477">
        <v>17796.54</v>
      </c>
      <c r="J477" t="s">
        <v>14</v>
      </c>
      <c r="K477">
        <v>31.2</v>
      </c>
      <c r="L477" s="9">
        <v>2.5</v>
      </c>
      <c r="M477">
        <v>1</v>
      </c>
      <c r="N477">
        <f t="shared" si="14"/>
        <v>0</v>
      </c>
      <c r="O477">
        <f t="shared" si="15"/>
        <v>2</v>
      </c>
    </row>
    <row r="478" spans="1:15" x14ac:dyDescent="0.2">
      <c r="A478" s="1">
        <v>45331</v>
      </c>
      <c r="B478">
        <v>5</v>
      </c>
      <c r="C478" t="s">
        <v>16</v>
      </c>
      <c r="D478" s="2">
        <v>0.41736111111111113</v>
      </c>
      <c r="E478">
        <v>17852.59</v>
      </c>
      <c r="F478" s="2">
        <v>0.42916666666666664</v>
      </c>
      <c r="G478">
        <v>17883.830000000002</v>
      </c>
      <c r="H478">
        <v>17840.099999999999</v>
      </c>
      <c r="I478">
        <v>17883.830000000002</v>
      </c>
      <c r="J478" t="s">
        <v>14</v>
      </c>
      <c r="K478">
        <v>31.24</v>
      </c>
      <c r="L478" s="9">
        <v>2.5</v>
      </c>
      <c r="M478">
        <v>1</v>
      </c>
      <c r="N478">
        <f t="shared" si="14"/>
        <v>0</v>
      </c>
      <c r="O478">
        <f t="shared" si="15"/>
        <v>3</v>
      </c>
    </row>
    <row r="479" spans="1:15" x14ac:dyDescent="0.2">
      <c r="A479" s="1">
        <v>45334</v>
      </c>
      <c r="B479">
        <v>1</v>
      </c>
      <c r="C479" t="s">
        <v>13</v>
      </c>
      <c r="D479" s="2">
        <v>0.42916666666666664</v>
      </c>
      <c r="E479">
        <v>17941.849999999999</v>
      </c>
      <c r="F479" s="2">
        <v>0.43402777777777779</v>
      </c>
      <c r="G479">
        <v>17954.41</v>
      </c>
      <c r="H479">
        <v>17954.41</v>
      </c>
      <c r="I479">
        <v>17910.45</v>
      </c>
      <c r="J479" t="s">
        <v>15</v>
      </c>
      <c r="K479">
        <v>-12.56</v>
      </c>
      <c r="L479" s="9">
        <v>-1</v>
      </c>
      <c r="M479">
        <v>0</v>
      </c>
      <c r="N479">
        <f t="shared" si="14"/>
        <v>1</v>
      </c>
      <c r="O479">
        <f t="shared" si="15"/>
        <v>0</v>
      </c>
    </row>
    <row r="480" spans="1:15" x14ac:dyDescent="0.2">
      <c r="A480" s="1">
        <v>45334</v>
      </c>
      <c r="B480">
        <v>1</v>
      </c>
      <c r="C480" t="s">
        <v>16</v>
      </c>
      <c r="D480" s="2">
        <v>0.44097222222222221</v>
      </c>
      <c r="E480">
        <v>17961.47</v>
      </c>
      <c r="F480" s="2">
        <v>0.45277777777777778</v>
      </c>
      <c r="G480">
        <v>17992.900000000001</v>
      </c>
      <c r="H480">
        <v>17948.89</v>
      </c>
      <c r="I480">
        <v>17992.900000000001</v>
      </c>
      <c r="J480" t="s">
        <v>14</v>
      </c>
      <c r="K480">
        <v>31.43</v>
      </c>
      <c r="L480" s="9">
        <v>2.5</v>
      </c>
      <c r="M480">
        <v>1</v>
      </c>
      <c r="N480">
        <f t="shared" si="14"/>
        <v>0</v>
      </c>
      <c r="O480">
        <f t="shared" si="15"/>
        <v>1</v>
      </c>
    </row>
    <row r="481" spans="1:15" x14ac:dyDescent="0.2">
      <c r="A481" s="1">
        <v>45335</v>
      </c>
      <c r="B481">
        <v>2</v>
      </c>
      <c r="C481" t="s">
        <v>16</v>
      </c>
      <c r="D481" s="2">
        <v>0.41597222222222224</v>
      </c>
      <c r="E481">
        <v>17596.21</v>
      </c>
      <c r="F481" s="2">
        <v>0.41875000000000001</v>
      </c>
      <c r="G481">
        <v>17583.89</v>
      </c>
      <c r="H481">
        <v>17583.89</v>
      </c>
      <c r="I481">
        <v>17627</v>
      </c>
      <c r="J481" t="s">
        <v>15</v>
      </c>
      <c r="K481">
        <v>-12.32</v>
      </c>
      <c r="L481" s="9">
        <v>-1</v>
      </c>
      <c r="M481">
        <v>0</v>
      </c>
      <c r="N481">
        <f t="shared" si="14"/>
        <v>1</v>
      </c>
      <c r="O481">
        <f t="shared" si="15"/>
        <v>0</v>
      </c>
    </row>
    <row r="482" spans="1:15" x14ac:dyDescent="0.2">
      <c r="A482" s="1">
        <v>45335</v>
      </c>
      <c r="B482">
        <v>2</v>
      </c>
      <c r="C482" t="s">
        <v>16</v>
      </c>
      <c r="D482" s="2">
        <v>0.43888888888888888</v>
      </c>
      <c r="E482">
        <v>17667.16</v>
      </c>
      <c r="F482" s="2">
        <v>0.44374999999999998</v>
      </c>
      <c r="G482">
        <v>17698.080000000002</v>
      </c>
      <c r="H482">
        <v>17654.79</v>
      </c>
      <c r="I482">
        <v>17698.080000000002</v>
      </c>
      <c r="J482" t="s">
        <v>14</v>
      </c>
      <c r="K482">
        <v>30.92</v>
      </c>
      <c r="L482" s="9">
        <v>2.5</v>
      </c>
      <c r="M482">
        <v>1</v>
      </c>
      <c r="N482">
        <f t="shared" si="14"/>
        <v>0</v>
      </c>
      <c r="O482">
        <f t="shared" si="15"/>
        <v>1</v>
      </c>
    </row>
    <row r="483" spans="1:15" x14ac:dyDescent="0.2">
      <c r="A483" s="1">
        <v>45336</v>
      </c>
      <c r="B483">
        <v>3</v>
      </c>
      <c r="C483" t="s">
        <v>16</v>
      </c>
      <c r="D483" s="2">
        <v>0.42291666666666666</v>
      </c>
      <c r="E483">
        <v>17726.09</v>
      </c>
      <c r="F483" s="2">
        <v>0.42499999999999999</v>
      </c>
      <c r="G483">
        <v>17713.68</v>
      </c>
      <c r="H483">
        <v>17713.68</v>
      </c>
      <c r="I483">
        <v>17757.11</v>
      </c>
      <c r="J483" t="s">
        <v>15</v>
      </c>
      <c r="K483">
        <v>-12.41</v>
      </c>
      <c r="L483" s="9">
        <v>-1</v>
      </c>
      <c r="M483">
        <v>0</v>
      </c>
      <c r="N483">
        <f t="shared" si="14"/>
        <v>1</v>
      </c>
      <c r="O483">
        <f t="shared" si="15"/>
        <v>0</v>
      </c>
    </row>
    <row r="484" spans="1:15" x14ac:dyDescent="0.2">
      <c r="A484" s="1">
        <v>45337</v>
      </c>
      <c r="B484">
        <v>4</v>
      </c>
      <c r="C484" t="s">
        <v>13</v>
      </c>
      <c r="D484" s="2">
        <v>0.40208333333333335</v>
      </c>
      <c r="E484">
        <v>17799.34</v>
      </c>
      <c r="F484" s="2">
        <v>0.41249999999999998</v>
      </c>
      <c r="G484">
        <v>17768.189999999999</v>
      </c>
      <c r="H484">
        <v>17811.8</v>
      </c>
      <c r="I484">
        <v>17768.189999999999</v>
      </c>
      <c r="J484" t="s">
        <v>14</v>
      </c>
      <c r="K484">
        <v>31.15</v>
      </c>
      <c r="L484" s="9">
        <v>2.5</v>
      </c>
      <c r="M484">
        <v>1</v>
      </c>
      <c r="N484">
        <f t="shared" si="14"/>
        <v>0</v>
      </c>
      <c r="O484">
        <f t="shared" si="15"/>
        <v>1</v>
      </c>
    </row>
    <row r="485" spans="1:15" x14ac:dyDescent="0.2">
      <c r="A485" s="1">
        <v>45338</v>
      </c>
      <c r="B485">
        <v>5</v>
      </c>
      <c r="C485" t="s">
        <v>13</v>
      </c>
      <c r="D485" s="2">
        <v>0.39861111111111114</v>
      </c>
      <c r="E485">
        <v>17842.439999999999</v>
      </c>
      <c r="F485" s="2">
        <v>0.4</v>
      </c>
      <c r="G485">
        <v>17854.93</v>
      </c>
      <c r="H485">
        <v>17854.93</v>
      </c>
      <c r="I485">
        <v>17811.22</v>
      </c>
      <c r="J485" t="s">
        <v>15</v>
      </c>
      <c r="K485">
        <v>-12.49</v>
      </c>
      <c r="L485" s="9">
        <v>-1</v>
      </c>
      <c r="M485">
        <v>0</v>
      </c>
      <c r="N485">
        <f t="shared" si="14"/>
        <v>1</v>
      </c>
      <c r="O485">
        <f t="shared" si="15"/>
        <v>0</v>
      </c>
    </row>
    <row r="486" spans="1:15" x14ac:dyDescent="0.2">
      <c r="A486" s="1">
        <v>45341</v>
      </c>
      <c r="B486">
        <v>1</v>
      </c>
      <c r="C486" t="s">
        <v>16</v>
      </c>
      <c r="D486" s="2">
        <v>0.3972222222222222</v>
      </c>
      <c r="E486">
        <v>17728.330000000002</v>
      </c>
      <c r="F486" s="2">
        <v>0.43055555555555558</v>
      </c>
      <c r="G486">
        <v>17715.919999999998</v>
      </c>
      <c r="H486">
        <v>17715.919999999998</v>
      </c>
      <c r="I486">
        <v>17759.349999999999</v>
      </c>
      <c r="J486" t="s">
        <v>15</v>
      </c>
      <c r="K486">
        <v>-12.41</v>
      </c>
      <c r="L486" s="9">
        <v>-1</v>
      </c>
      <c r="M486">
        <v>0</v>
      </c>
      <c r="N486">
        <f t="shared" si="14"/>
        <v>2</v>
      </c>
      <c r="O486">
        <f t="shared" si="15"/>
        <v>0</v>
      </c>
    </row>
    <row r="487" spans="1:15" x14ac:dyDescent="0.2">
      <c r="A487" s="1">
        <v>45341</v>
      </c>
      <c r="B487">
        <v>1</v>
      </c>
      <c r="C487" t="s">
        <v>13</v>
      </c>
      <c r="D487" s="2">
        <v>0.43194444444444446</v>
      </c>
      <c r="E487">
        <v>17719.98</v>
      </c>
      <c r="F487" s="2">
        <v>0.53125</v>
      </c>
      <c r="G487">
        <v>17732.38</v>
      </c>
      <c r="H487">
        <v>17732.38</v>
      </c>
      <c r="I487">
        <v>17688.97</v>
      </c>
      <c r="J487" t="s">
        <v>15</v>
      </c>
      <c r="K487">
        <v>-12.4</v>
      </c>
      <c r="L487" s="9">
        <v>-1</v>
      </c>
      <c r="M487">
        <v>0</v>
      </c>
      <c r="N487">
        <f t="shared" si="14"/>
        <v>3</v>
      </c>
      <c r="O487">
        <f t="shared" si="15"/>
        <v>0</v>
      </c>
    </row>
    <row r="488" spans="1:15" x14ac:dyDescent="0.2">
      <c r="A488" s="1">
        <v>45342</v>
      </c>
      <c r="B488">
        <v>2</v>
      </c>
      <c r="C488" t="s">
        <v>13</v>
      </c>
      <c r="D488" s="2">
        <v>0.40625</v>
      </c>
      <c r="E488">
        <v>17528.240000000002</v>
      </c>
      <c r="F488" s="2">
        <v>0.40763888888888888</v>
      </c>
      <c r="G488">
        <v>17540.509999999998</v>
      </c>
      <c r="H488">
        <v>17540.509999999998</v>
      </c>
      <c r="I488">
        <v>17497.560000000001</v>
      </c>
      <c r="J488" t="s">
        <v>15</v>
      </c>
      <c r="K488">
        <v>-12.27</v>
      </c>
      <c r="L488" s="9">
        <v>-1</v>
      </c>
      <c r="M488">
        <v>0</v>
      </c>
      <c r="N488">
        <f t="shared" si="14"/>
        <v>4</v>
      </c>
      <c r="O488">
        <f t="shared" si="15"/>
        <v>0</v>
      </c>
    </row>
    <row r="489" spans="1:15" x14ac:dyDescent="0.2">
      <c r="A489" s="1">
        <v>45342</v>
      </c>
      <c r="B489">
        <v>2</v>
      </c>
      <c r="C489" t="s">
        <v>16</v>
      </c>
      <c r="D489" s="2">
        <v>0.45347222222222222</v>
      </c>
      <c r="E489">
        <v>17491.54</v>
      </c>
      <c r="F489" s="2">
        <v>0.45833333333333331</v>
      </c>
      <c r="G489">
        <v>17522.150000000001</v>
      </c>
      <c r="H489">
        <v>17479.29</v>
      </c>
      <c r="I489">
        <v>17522.150000000001</v>
      </c>
      <c r="J489" t="s">
        <v>14</v>
      </c>
      <c r="K489">
        <v>30.61</v>
      </c>
      <c r="L489" s="9">
        <v>2.5</v>
      </c>
      <c r="M489">
        <v>1</v>
      </c>
      <c r="N489">
        <f t="shared" si="14"/>
        <v>0</v>
      </c>
      <c r="O489">
        <f t="shared" si="15"/>
        <v>1</v>
      </c>
    </row>
    <row r="490" spans="1:15" x14ac:dyDescent="0.2">
      <c r="A490" s="1">
        <v>45343</v>
      </c>
      <c r="B490">
        <v>3</v>
      </c>
      <c r="C490" t="s">
        <v>13</v>
      </c>
      <c r="D490" s="2">
        <v>0.40833333333333333</v>
      </c>
      <c r="E490">
        <v>17407.52</v>
      </c>
      <c r="F490" s="2">
        <v>0.41388888888888886</v>
      </c>
      <c r="G490">
        <v>17419.71</v>
      </c>
      <c r="H490">
        <v>17419.71</v>
      </c>
      <c r="I490">
        <v>17377.060000000001</v>
      </c>
      <c r="J490" t="s">
        <v>15</v>
      </c>
      <c r="K490">
        <v>-12.19</v>
      </c>
      <c r="L490" s="9">
        <v>-1</v>
      </c>
      <c r="M490">
        <v>0</v>
      </c>
      <c r="N490">
        <f t="shared" si="14"/>
        <v>1</v>
      </c>
      <c r="O490">
        <f t="shared" si="15"/>
        <v>0</v>
      </c>
    </row>
    <row r="491" spans="1:15" x14ac:dyDescent="0.2">
      <c r="A491" s="1">
        <v>45343</v>
      </c>
      <c r="B491">
        <v>3</v>
      </c>
      <c r="C491" t="s">
        <v>13</v>
      </c>
      <c r="D491" s="2">
        <v>0.44930555555555557</v>
      </c>
      <c r="E491">
        <v>17407.71</v>
      </c>
      <c r="F491" s="2">
        <v>0.45069444444444445</v>
      </c>
      <c r="G491">
        <v>17419.89</v>
      </c>
      <c r="H491">
        <v>17419.89</v>
      </c>
      <c r="I491">
        <v>17377.240000000002</v>
      </c>
      <c r="J491" t="s">
        <v>15</v>
      </c>
      <c r="K491">
        <v>-12.19</v>
      </c>
      <c r="L491" s="9">
        <v>-1</v>
      </c>
      <c r="M491">
        <v>0</v>
      </c>
      <c r="N491">
        <f t="shared" si="14"/>
        <v>2</v>
      </c>
      <c r="O491">
        <f t="shared" si="15"/>
        <v>0</v>
      </c>
    </row>
    <row r="492" spans="1:15" x14ac:dyDescent="0.2">
      <c r="A492" s="1">
        <v>45345</v>
      </c>
      <c r="B492">
        <v>5</v>
      </c>
      <c r="C492" t="s">
        <v>16</v>
      </c>
      <c r="D492" s="2">
        <v>0.39930555555555558</v>
      </c>
      <c r="E492">
        <v>18081.64</v>
      </c>
      <c r="F492" s="2">
        <v>0.40486111111111112</v>
      </c>
      <c r="G492">
        <v>18068.990000000002</v>
      </c>
      <c r="H492">
        <v>18068.990000000002</v>
      </c>
      <c r="I492">
        <v>18113.29</v>
      </c>
      <c r="J492" t="s">
        <v>15</v>
      </c>
      <c r="K492">
        <v>-12.66</v>
      </c>
      <c r="L492" s="9">
        <v>-1</v>
      </c>
      <c r="M492">
        <v>0</v>
      </c>
      <c r="N492">
        <f t="shared" si="14"/>
        <v>3</v>
      </c>
      <c r="O492">
        <f t="shared" si="15"/>
        <v>0</v>
      </c>
    </row>
    <row r="493" spans="1:15" x14ac:dyDescent="0.2">
      <c r="A493" s="1">
        <v>45345</v>
      </c>
      <c r="B493">
        <v>5</v>
      </c>
      <c r="C493" t="s">
        <v>13</v>
      </c>
      <c r="D493" s="2">
        <v>0.41805555555555557</v>
      </c>
      <c r="E493">
        <v>18025.810000000001</v>
      </c>
      <c r="F493" s="2">
        <v>0.41875000000000001</v>
      </c>
      <c r="G493">
        <v>18038.43</v>
      </c>
      <c r="H493">
        <v>18038.43</v>
      </c>
      <c r="I493">
        <v>17994.259999999998</v>
      </c>
      <c r="J493" t="s">
        <v>15</v>
      </c>
      <c r="K493">
        <v>-12.62</v>
      </c>
      <c r="L493" s="9">
        <v>-1</v>
      </c>
      <c r="M493">
        <v>0</v>
      </c>
      <c r="N493">
        <f t="shared" si="14"/>
        <v>4</v>
      </c>
      <c r="O493">
        <f t="shared" si="15"/>
        <v>0</v>
      </c>
    </row>
    <row r="494" spans="1:15" x14ac:dyDescent="0.2">
      <c r="A494" s="1">
        <v>45348</v>
      </c>
      <c r="B494">
        <v>1</v>
      </c>
      <c r="C494" t="s">
        <v>13</v>
      </c>
      <c r="D494" s="2">
        <v>0.41736111111111113</v>
      </c>
      <c r="E494">
        <v>17938.45</v>
      </c>
      <c r="F494" s="2">
        <v>0.41944444444444445</v>
      </c>
      <c r="G494">
        <v>17951.009999999998</v>
      </c>
      <c r="H494">
        <v>17951.009999999998</v>
      </c>
      <c r="I494">
        <v>17907.060000000001</v>
      </c>
      <c r="J494" t="s">
        <v>15</v>
      </c>
      <c r="K494">
        <v>-12.56</v>
      </c>
      <c r="L494" s="9">
        <v>-1</v>
      </c>
      <c r="M494">
        <v>0</v>
      </c>
      <c r="N494">
        <f t="shared" si="14"/>
        <v>5</v>
      </c>
      <c r="O494">
        <f t="shared" si="15"/>
        <v>0</v>
      </c>
    </row>
    <row r="495" spans="1:15" x14ac:dyDescent="0.2">
      <c r="A495" s="1">
        <v>45348</v>
      </c>
      <c r="B495">
        <v>1</v>
      </c>
      <c r="C495" t="s">
        <v>16</v>
      </c>
      <c r="D495" s="2">
        <v>0.43333333333333335</v>
      </c>
      <c r="E495">
        <v>17980.62</v>
      </c>
      <c r="F495" s="2">
        <v>0.4375</v>
      </c>
      <c r="G495">
        <v>17968.03</v>
      </c>
      <c r="H495">
        <v>17968.03</v>
      </c>
      <c r="I495">
        <v>18012.080000000002</v>
      </c>
      <c r="J495" t="s">
        <v>15</v>
      </c>
      <c r="K495">
        <v>-12.59</v>
      </c>
      <c r="L495" s="9">
        <v>-1</v>
      </c>
      <c r="M495">
        <v>0</v>
      </c>
      <c r="N495">
        <f t="shared" si="14"/>
        <v>6</v>
      </c>
      <c r="O495">
        <f t="shared" si="15"/>
        <v>0</v>
      </c>
    </row>
    <row r="496" spans="1:15" x14ac:dyDescent="0.2">
      <c r="A496" s="1">
        <v>45350</v>
      </c>
      <c r="B496">
        <v>3</v>
      </c>
      <c r="C496" t="s">
        <v>13</v>
      </c>
      <c r="D496" s="2">
        <v>0.41249999999999998</v>
      </c>
      <c r="E496">
        <v>17847.59</v>
      </c>
      <c r="F496" s="2">
        <v>0.41458333333333336</v>
      </c>
      <c r="G496">
        <v>17860.080000000002</v>
      </c>
      <c r="H496">
        <v>17860.080000000002</v>
      </c>
      <c r="I496">
        <v>17816.349999999999</v>
      </c>
      <c r="J496" t="s">
        <v>15</v>
      </c>
      <c r="K496">
        <v>-12.49</v>
      </c>
      <c r="L496" s="9">
        <v>-1</v>
      </c>
      <c r="M496">
        <v>0</v>
      </c>
      <c r="N496">
        <f t="shared" si="14"/>
        <v>7</v>
      </c>
      <c r="O496">
        <f t="shared" si="15"/>
        <v>0</v>
      </c>
    </row>
    <row r="497" spans="1:15" x14ac:dyDescent="0.2">
      <c r="A497" s="1">
        <v>45351</v>
      </c>
      <c r="B497">
        <v>4</v>
      </c>
      <c r="C497" t="s">
        <v>16</v>
      </c>
      <c r="D497" s="2">
        <v>0.4</v>
      </c>
      <c r="E497">
        <v>18018.78</v>
      </c>
      <c r="F497" s="2">
        <v>0.40138888888888891</v>
      </c>
      <c r="G497">
        <v>18006.169999999998</v>
      </c>
      <c r="H497">
        <v>18006.169999999998</v>
      </c>
      <c r="I497">
        <v>18050.310000000001</v>
      </c>
      <c r="J497" t="s">
        <v>15</v>
      </c>
      <c r="K497">
        <v>-12.61</v>
      </c>
      <c r="L497" s="9">
        <v>-1</v>
      </c>
      <c r="M497">
        <v>0</v>
      </c>
      <c r="N497">
        <f t="shared" si="14"/>
        <v>8</v>
      </c>
      <c r="O497">
        <f t="shared" si="15"/>
        <v>0</v>
      </c>
    </row>
    <row r="498" spans="1:15" x14ac:dyDescent="0.2">
      <c r="A498" s="1">
        <v>45356</v>
      </c>
      <c r="B498">
        <v>2</v>
      </c>
      <c r="C498" t="s">
        <v>13</v>
      </c>
      <c r="D498" s="2">
        <v>0.40138888888888891</v>
      </c>
      <c r="E498">
        <v>18044.060000000001</v>
      </c>
      <c r="F498" s="2">
        <v>0.40763888888888888</v>
      </c>
      <c r="G498">
        <v>18012.490000000002</v>
      </c>
      <c r="H498">
        <v>18056.689999999999</v>
      </c>
      <c r="I498">
        <v>18012.490000000002</v>
      </c>
      <c r="J498" t="s">
        <v>14</v>
      </c>
      <c r="K498">
        <v>31.58</v>
      </c>
      <c r="L498" s="9">
        <v>2.5</v>
      </c>
      <c r="M498">
        <v>1</v>
      </c>
      <c r="N498">
        <f t="shared" si="14"/>
        <v>0</v>
      </c>
      <c r="O498">
        <f t="shared" si="15"/>
        <v>1</v>
      </c>
    </row>
    <row r="499" spans="1:15" x14ac:dyDescent="0.2">
      <c r="A499" s="1">
        <v>45356</v>
      </c>
      <c r="B499">
        <v>2</v>
      </c>
      <c r="C499" t="s">
        <v>13</v>
      </c>
      <c r="D499" s="2">
        <v>0.42638888888888887</v>
      </c>
      <c r="E499">
        <v>17981.03</v>
      </c>
      <c r="F499" s="2">
        <v>0.42916666666666664</v>
      </c>
      <c r="G499">
        <v>17949.560000000001</v>
      </c>
      <c r="H499">
        <v>17993.61</v>
      </c>
      <c r="I499">
        <v>17949.560000000001</v>
      </c>
      <c r="J499" t="s">
        <v>14</v>
      </c>
      <c r="K499">
        <v>31.47</v>
      </c>
      <c r="L499" s="9">
        <v>2.5</v>
      </c>
      <c r="M499">
        <v>1</v>
      </c>
      <c r="N499">
        <f t="shared" si="14"/>
        <v>0</v>
      </c>
      <c r="O499">
        <f t="shared" si="15"/>
        <v>2</v>
      </c>
    </row>
    <row r="500" spans="1:15" x14ac:dyDescent="0.2">
      <c r="A500" s="1">
        <v>45358</v>
      </c>
      <c r="B500">
        <v>4</v>
      </c>
      <c r="C500" t="s">
        <v>16</v>
      </c>
      <c r="D500" s="2">
        <v>0.40208333333333335</v>
      </c>
      <c r="E500">
        <v>18185.77</v>
      </c>
      <c r="F500" s="2">
        <v>0.40277777777777779</v>
      </c>
      <c r="G500">
        <v>18173.04</v>
      </c>
      <c r="H500">
        <v>18173.04</v>
      </c>
      <c r="I500">
        <v>18217.59</v>
      </c>
      <c r="J500" t="s">
        <v>15</v>
      </c>
      <c r="K500">
        <v>-12.73</v>
      </c>
      <c r="L500" s="9">
        <v>-1</v>
      </c>
      <c r="M500">
        <v>0</v>
      </c>
      <c r="N500">
        <f t="shared" si="14"/>
        <v>1</v>
      </c>
      <c r="O500">
        <f t="shared" si="15"/>
        <v>0</v>
      </c>
    </row>
    <row r="501" spans="1:15" x14ac:dyDescent="0.2">
      <c r="A501" s="1">
        <v>45358</v>
      </c>
      <c r="B501">
        <v>4</v>
      </c>
      <c r="C501" t="s">
        <v>16</v>
      </c>
      <c r="D501" s="2">
        <v>0.4284722222222222</v>
      </c>
      <c r="E501">
        <v>18196.96</v>
      </c>
      <c r="F501" s="2">
        <v>0.44374999999999998</v>
      </c>
      <c r="G501">
        <v>18228.8</v>
      </c>
      <c r="H501">
        <v>18184.22</v>
      </c>
      <c r="I501">
        <v>18228.8</v>
      </c>
      <c r="J501" t="s">
        <v>14</v>
      </c>
      <c r="K501">
        <v>31.84</v>
      </c>
      <c r="L501" s="9">
        <v>2.5</v>
      </c>
      <c r="M501">
        <v>1</v>
      </c>
      <c r="N501">
        <f t="shared" si="14"/>
        <v>0</v>
      </c>
      <c r="O501">
        <f t="shared" si="15"/>
        <v>1</v>
      </c>
    </row>
    <row r="502" spans="1:15" x14ac:dyDescent="0.2">
      <c r="A502" s="1">
        <v>45359</v>
      </c>
      <c r="B502">
        <v>5</v>
      </c>
      <c r="C502" t="s">
        <v>13</v>
      </c>
      <c r="D502" s="2">
        <v>0.3972222222222222</v>
      </c>
      <c r="E502">
        <v>18300.810000000001</v>
      </c>
      <c r="F502" s="2">
        <v>0.39791666666666664</v>
      </c>
      <c r="G502">
        <v>18313.62</v>
      </c>
      <c r="H502">
        <v>18313.62</v>
      </c>
      <c r="I502">
        <v>18268.79</v>
      </c>
      <c r="J502" t="s">
        <v>15</v>
      </c>
      <c r="K502">
        <v>-12.81</v>
      </c>
      <c r="L502" s="9">
        <v>-1</v>
      </c>
      <c r="M502">
        <v>0</v>
      </c>
      <c r="N502">
        <f t="shared" si="14"/>
        <v>1</v>
      </c>
      <c r="O502">
        <f t="shared" si="15"/>
        <v>0</v>
      </c>
    </row>
    <row r="503" spans="1:15" x14ac:dyDescent="0.2">
      <c r="A503" s="1">
        <v>45359</v>
      </c>
      <c r="B503">
        <v>5</v>
      </c>
      <c r="C503" t="s">
        <v>16</v>
      </c>
      <c r="D503" s="2">
        <v>0.41388888888888886</v>
      </c>
      <c r="E503">
        <v>18351.59</v>
      </c>
      <c r="F503" s="2">
        <v>0.4201388888888889</v>
      </c>
      <c r="G503">
        <v>18383.71</v>
      </c>
      <c r="H503">
        <v>18338.75</v>
      </c>
      <c r="I503">
        <v>18383.71</v>
      </c>
      <c r="J503" t="s">
        <v>14</v>
      </c>
      <c r="K503">
        <v>32.119999999999997</v>
      </c>
      <c r="L503" s="9">
        <v>2.5</v>
      </c>
      <c r="M503">
        <v>1</v>
      </c>
      <c r="N503">
        <f t="shared" si="14"/>
        <v>0</v>
      </c>
      <c r="O503">
        <f t="shared" si="15"/>
        <v>1</v>
      </c>
    </row>
    <row r="504" spans="1:15" x14ac:dyDescent="0.2">
      <c r="A504" s="1">
        <v>45359</v>
      </c>
      <c r="B504">
        <v>5</v>
      </c>
      <c r="C504" t="s">
        <v>13</v>
      </c>
      <c r="D504" s="2">
        <v>0.4513888888888889</v>
      </c>
      <c r="E504">
        <v>18347.439999999999</v>
      </c>
      <c r="F504" s="2">
        <v>0.45347222222222222</v>
      </c>
      <c r="G504">
        <v>18360.29</v>
      </c>
      <c r="H504">
        <v>18360.29</v>
      </c>
      <c r="I504">
        <v>18315.34</v>
      </c>
      <c r="J504" t="s">
        <v>15</v>
      </c>
      <c r="K504">
        <v>-12.84</v>
      </c>
      <c r="L504" s="9">
        <v>-1</v>
      </c>
      <c r="M504">
        <v>0</v>
      </c>
      <c r="N504">
        <f t="shared" si="14"/>
        <v>1</v>
      </c>
      <c r="O504">
        <f t="shared" si="15"/>
        <v>0</v>
      </c>
    </row>
    <row r="505" spans="1:15" x14ac:dyDescent="0.2">
      <c r="A505" s="1">
        <v>45362</v>
      </c>
      <c r="B505">
        <v>1</v>
      </c>
      <c r="C505" t="s">
        <v>13</v>
      </c>
      <c r="D505" s="2">
        <v>0.41875000000000001</v>
      </c>
      <c r="E505">
        <v>17895.73</v>
      </c>
      <c r="F505" s="2">
        <v>0.42291666666666666</v>
      </c>
      <c r="G505">
        <v>17908.259999999998</v>
      </c>
      <c r="H505">
        <v>17908.259999999998</v>
      </c>
      <c r="I505">
        <v>17864.419999999998</v>
      </c>
      <c r="J505" t="s">
        <v>15</v>
      </c>
      <c r="K505">
        <v>-12.53</v>
      </c>
      <c r="L505" s="9">
        <v>-1</v>
      </c>
      <c r="M505">
        <v>0</v>
      </c>
      <c r="N505">
        <f t="shared" si="14"/>
        <v>2</v>
      </c>
      <c r="O505">
        <f t="shared" si="15"/>
        <v>0</v>
      </c>
    </row>
    <row r="506" spans="1:15" x14ac:dyDescent="0.2">
      <c r="A506" s="1">
        <v>45362</v>
      </c>
      <c r="B506">
        <v>1</v>
      </c>
      <c r="C506" t="s">
        <v>16</v>
      </c>
      <c r="D506" s="2">
        <v>0.44236111111111109</v>
      </c>
      <c r="E506">
        <v>17949.64</v>
      </c>
      <c r="F506" s="2">
        <v>0.44305555555555554</v>
      </c>
      <c r="G506">
        <v>17937.080000000002</v>
      </c>
      <c r="H506">
        <v>17937.080000000002</v>
      </c>
      <c r="I506">
        <v>17981.05</v>
      </c>
      <c r="J506" t="s">
        <v>15</v>
      </c>
      <c r="K506">
        <v>-12.56</v>
      </c>
      <c r="L506" s="9">
        <v>-1</v>
      </c>
      <c r="M506">
        <v>0</v>
      </c>
      <c r="N506">
        <f t="shared" si="14"/>
        <v>3</v>
      </c>
      <c r="O506">
        <f t="shared" si="15"/>
        <v>0</v>
      </c>
    </row>
    <row r="507" spans="1:15" x14ac:dyDescent="0.2">
      <c r="A507" s="1">
        <v>45363</v>
      </c>
      <c r="B507">
        <v>2</v>
      </c>
      <c r="C507" t="s">
        <v>13</v>
      </c>
      <c r="D507" s="2">
        <v>0.40416666666666667</v>
      </c>
      <c r="E507">
        <v>17975.57</v>
      </c>
      <c r="F507" s="2">
        <v>0.40486111111111112</v>
      </c>
      <c r="G507">
        <v>17944.11</v>
      </c>
      <c r="H507">
        <v>17988.16</v>
      </c>
      <c r="I507">
        <v>17944.11</v>
      </c>
      <c r="J507" t="s">
        <v>14</v>
      </c>
      <c r="K507">
        <v>31.46</v>
      </c>
      <c r="L507" s="9">
        <v>2.5</v>
      </c>
      <c r="M507">
        <v>1</v>
      </c>
      <c r="N507">
        <f t="shared" si="14"/>
        <v>0</v>
      </c>
      <c r="O507">
        <f t="shared" si="15"/>
        <v>1</v>
      </c>
    </row>
    <row r="508" spans="1:15" x14ac:dyDescent="0.2">
      <c r="A508" s="1">
        <v>45363</v>
      </c>
      <c r="B508">
        <v>2</v>
      </c>
      <c r="C508" t="s">
        <v>16</v>
      </c>
      <c r="D508" s="2">
        <v>0.42291666666666666</v>
      </c>
      <c r="E508">
        <v>18053.46</v>
      </c>
      <c r="F508" s="2">
        <v>0.42569444444444443</v>
      </c>
      <c r="G508">
        <v>18040.82</v>
      </c>
      <c r="H508">
        <v>18040.82</v>
      </c>
      <c r="I508">
        <v>18085.05</v>
      </c>
      <c r="J508" t="s">
        <v>15</v>
      </c>
      <c r="K508">
        <v>-12.64</v>
      </c>
      <c r="L508" s="9">
        <v>-1</v>
      </c>
      <c r="M508">
        <v>0</v>
      </c>
      <c r="N508">
        <f t="shared" si="14"/>
        <v>1</v>
      </c>
      <c r="O508">
        <f t="shared" si="15"/>
        <v>0</v>
      </c>
    </row>
    <row r="509" spans="1:15" x14ac:dyDescent="0.2">
      <c r="A509" s="1">
        <v>45364</v>
      </c>
      <c r="B509">
        <v>3</v>
      </c>
      <c r="C509" t="s">
        <v>13</v>
      </c>
      <c r="D509" s="2">
        <v>0.40972222222222221</v>
      </c>
      <c r="E509">
        <v>18095.97</v>
      </c>
      <c r="F509" s="2">
        <v>0.41666666666666669</v>
      </c>
      <c r="G509">
        <v>18064.3</v>
      </c>
      <c r="H509">
        <v>18108.64</v>
      </c>
      <c r="I509">
        <v>18064.3</v>
      </c>
      <c r="J509" t="s">
        <v>14</v>
      </c>
      <c r="K509">
        <v>31.67</v>
      </c>
      <c r="L509" s="9">
        <v>2.5</v>
      </c>
      <c r="M509">
        <v>1</v>
      </c>
      <c r="N509">
        <f t="shared" si="14"/>
        <v>0</v>
      </c>
      <c r="O509">
        <f t="shared" si="15"/>
        <v>1</v>
      </c>
    </row>
    <row r="510" spans="1:15" x14ac:dyDescent="0.2">
      <c r="A510" s="1">
        <v>45364</v>
      </c>
      <c r="B510">
        <v>3</v>
      </c>
      <c r="C510" t="s">
        <v>16</v>
      </c>
      <c r="D510" s="2">
        <v>0.44861111111111113</v>
      </c>
      <c r="E510">
        <v>18114.169999999998</v>
      </c>
      <c r="F510" s="2">
        <v>0.45</v>
      </c>
      <c r="G510">
        <v>18101.490000000002</v>
      </c>
      <c r="H510">
        <v>18101.490000000002</v>
      </c>
      <c r="I510">
        <v>18145.87</v>
      </c>
      <c r="J510" t="s">
        <v>15</v>
      </c>
      <c r="K510">
        <v>-12.68</v>
      </c>
      <c r="L510" s="9">
        <v>-1</v>
      </c>
      <c r="M510">
        <v>0</v>
      </c>
      <c r="N510">
        <f t="shared" si="14"/>
        <v>1</v>
      </c>
      <c r="O510">
        <f t="shared" si="15"/>
        <v>0</v>
      </c>
    </row>
    <row r="511" spans="1:15" x14ac:dyDescent="0.2">
      <c r="A511" s="1">
        <v>45365</v>
      </c>
      <c r="B511">
        <v>4</v>
      </c>
      <c r="C511" t="s">
        <v>13</v>
      </c>
      <c r="D511" s="2">
        <v>0.41319444444444442</v>
      </c>
      <c r="E511">
        <v>17993.73</v>
      </c>
      <c r="F511" s="2">
        <v>0.41388888888888886</v>
      </c>
      <c r="G511">
        <v>18006.330000000002</v>
      </c>
      <c r="H511">
        <v>18006.330000000002</v>
      </c>
      <c r="I511">
        <v>17962.240000000002</v>
      </c>
      <c r="J511" t="s">
        <v>15</v>
      </c>
      <c r="K511">
        <v>-12.6</v>
      </c>
      <c r="L511" s="9">
        <v>-1</v>
      </c>
      <c r="M511">
        <v>0</v>
      </c>
      <c r="N511">
        <f t="shared" si="14"/>
        <v>2</v>
      </c>
      <c r="O511">
        <f t="shared" si="15"/>
        <v>0</v>
      </c>
    </row>
    <row r="512" spans="1:15" x14ac:dyDescent="0.2">
      <c r="A512" s="1">
        <v>45365</v>
      </c>
      <c r="B512">
        <v>4</v>
      </c>
      <c r="C512" t="s">
        <v>16</v>
      </c>
      <c r="D512" s="2">
        <v>0.43958333333333333</v>
      </c>
      <c r="E512">
        <v>18070.060000000001</v>
      </c>
      <c r="F512" s="2">
        <v>0.44444444444444442</v>
      </c>
      <c r="G512">
        <v>18057.41</v>
      </c>
      <c r="H512">
        <v>18057.41</v>
      </c>
      <c r="I512">
        <v>18101.68</v>
      </c>
      <c r="J512" t="s">
        <v>15</v>
      </c>
      <c r="K512">
        <v>-12.65</v>
      </c>
      <c r="L512" s="9">
        <v>-1</v>
      </c>
      <c r="M512">
        <v>0</v>
      </c>
      <c r="N512">
        <f t="shared" si="14"/>
        <v>3</v>
      </c>
      <c r="O512">
        <f t="shared" si="15"/>
        <v>0</v>
      </c>
    </row>
    <row r="513" spans="1:15" x14ac:dyDescent="0.2">
      <c r="A513" s="1">
        <v>45365</v>
      </c>
      <c r="B513">
        <v>4</v>
      </c>
      <c r="C513" t="s">
        <v>13</v>
      </c>
      <c r="D513" s="2">
        <v>0.45624999999999999</v>
      </c>
      <c r="E513">
        <v>18043.18</v>
      </c>
      <c r="F513" s="2">
        <v>0.45833333333333331</v>
      </c>
      <c r="G513">
        <v>18055.810000000001</v>
      </c>
      <c r="H513">
        <v>18055.810000000001</v>
      </c>
      <c r="I513">
        <v>18011.599999999999</v>
      </c>
      <c r="J513" t="s">
        <v>15</v>
      </c>
      <c r="K513">
        <v>-12.63</v>
      </c>
      <c r="L513" s="9">
        <v>-1</v>
      </c>
      <c r="M513">
        <v>0</v>
      </c>
      <c r="N513">
        <f t="shared" si="14"/>
        <v>4</v>
      </c>
      <c r="O513">
        <f t="shared" si="15"/>
        <v>0</v>
      </c>
    </row>
    <row r="514" spans="1:15" x14ac:dyDescent="0.2">
      <c r="A514" s="1">
        <v>45366</v>
      </c>
      <c r="B514">
        <v>5</v>
      </c>
      <c r="C514" t="s">
        <v>13</v>
      </c>
      <c r="D514" s="2">
        <v>0.39583333333333331</v>
      </c>
      <c r="E514">
        <v>17913.98</v>
      </c>
      <c r="F514" s="2">
        <v>0.39652777777777776</v>
      </c>
      <c r="G514">
        <v>17882.63</v>
      </c>
      <c r="H514">
        <v>17926.52</v>
      </c>
      <c r="I514">
        <v>17882.63</v>
      </c>
      <c r="J514" t="s">
        <v>14</v>
      </c>
      <c r="K514">
        <v>31.35</v>
      </c>
      <c r="L514" s="9">
        <v>2.5</v>
      </c>
      <c r="M514">
        <v>1</v>
      </c>
      <c r="N514">
        <f t="shared" ref="N514:N577" si="16">IF(M514=0, IF(M513=0, N513+1, 1), 0)</f>
        <v>0</v>
      </c>
      <c r="O514">
        <f t="shared" ref="O514:O577" si="17">IF(M514=1, IF(M513=1, O513+1, 1), 0)</f>
        <v>1</v>
      </c>
    </row>
    <row r="515" spans="1:15" x14ac:dyDescent="0.2">
      <c r="A515" s="1">
        <v>45366</v>
      </c>
      <c r="B515">
        <v>5</v>
      </c>
      <c r="C515" t="s">
        <v>16</v>
      </c>
      <c r="D515" s="2">
        <v>0.44444444444444442</v>
      </c>
      <c r="E515">
        <v>17884.68</v>
      </c>
      <c r="F515" s="2">
        <v>0.45069444444444445</v>
      </c>
      <c r="G515">
        <v>17915.97</v>
      </c>
      <c r="H515">
        <v>17872.16</v>
      </c>
      <c r="I515">
        <v>17915.97</v>
      </c>
      <c r="J515" t="s">
        <v>14</v>
      </c>
      <c r="K515">
        <v>31.3</v>
      </c>
      <c r="L515" s="9">
        <v>2.5</v>
      </c>
      <c r="M515">
        <v>1</v>
      </c>
      <c r="N515">
        <f t="shared" si="16"/>
        <v>0</v>
      </c>
      <c r="O515">
        <f t="shared" si="17"/>
        <v>2</v>
      </c>
    </row>
    <row r="516" spans="1:15" x14ac:dyDescent="0.2">
      <c r="A516" s="1">
        <v>45369</v>
      </c>
      <c r="B516">
        <v>1</v>
      </c>
      <c r="C516" t="s">
        <v>16</v>
      </c>
      <c r="D516" s="2">
        <v>0.40069444444444446</v>
      </c>
      <c r="E516">
        <v>18076.86</v>
      </c>
      <c r="F516" s="2">
        <v>0.40694444444444444</v>
      </c>
      <c r="G516">
        <v>18108.5</v>
      </c>
      <c r="H516">
        <v>18064.21</v>
      </c>
      <c r="I516">
        <v>18108.5</v>
      </c>
      <c r="J516" t="s">
        <v>14</v>
      </c>
      <c r="K516">
        <v>31.63</v>
      </c>
      <c r="L516" s="9">
        <v>2.5</v>
      </c>
      <c r="M516">
        <v>1</v>
      </c>
      <c r="N516">
        <f t="shared" si="16"/>
        <v>0</v>
      </c>
      <c r="O516">
        <f t="shared" si="17"/>
        <v>3</v>
      </c>
    </row>
    <row r="517" spans="1:15" x14ac:dyDescent="0.2">
      <c r="A517" s="1">
        <v>45369</v>
      </c>
      <c r="B517">
        <v>1</v>
      </c>
      <c r="C517" t="s">
        <v>16</v>
      </c>
      <c r="D517" s="2">
        <v>0.43680555555555556</v>
      </c>
      <c r="E517">
        <v>18114.66</v>
      </c>
      <c r="F517" s="2">
        <v>0.43819444444444444</v>
      </c>
      <c r="G517">
        <v>18101.98</v>
      </c>
      <c r="H517">
        <v>18101.98</v>
      </c>
      <c r="I517">
        <v>18146.36</v>
      </c>
      <c r="J517" t="s">
        <v>15</v>
      </c>
      <c r="K517">
        <v>-12.68</v>
      </c>
      <c r="L517" s="9">
        <v>-1</v>
      </c>
      <c r="M517">
        <v>0</v>
      </c>
      <c r="N517">
        <f t="shared" si="16"/>
        <v>1</v>
      </c>
      <c r="O517">
        <f t="shared" si="17"/>
        <v>0</v>
      </c>
    </row>
    <row r="518" spans="1:15" x14ac:dyDescent="0.2">
      <c r="A518" s="1">
        <v>45370</v>
      </c>
      <c r="B518">
        <v>2</v>
      </c>
      <c r="C518" t="s">
        <v>13</v>
      </c>
      <c r="D518" s="2">
        <v>0.40555555555555556</v>
      </c>
      <c r="E518">
        <v>17824.28</v>
      </c>
      <c r="F518" s="2">
        <v>0.41041666666666665</v>
      </c>
      <c r="G518">
        <v>17836.759999999998</v>
      </c>
      <c r="H518">
        <v>17836.759999999998</v>
      </c>
      <c r="I518">
        <v>17793.09</v>
      </c>
      <c r="J518" t="s">
        <v>15</v>
      </c>
      <c r="K518">
        <v>-12.48</v>
      </c>
      <c r="L518" s="9">
        <v>-1</v>
      </c>
      <c r="M518">
        <v>0</v>
      </c>
      <c r="N518">
        <f t="shared" si="16"/>
        <v>2</v>
      </c>
      <c r="O518">
        <f t="shared" si="17"/>
        <v>0</v>
      </c>
    </row>
    <row r="519" spans="1:15" x14ac:dyDescent="0.2">
      <c r="A519" s="1">
        <v>45370</v>
      </c>
      <c r="B519">
        <v>2</v>
      </c>
      <c r="C519" t="s">
        <v>13</v>
      </c>
      <c r="D519" s="2">
        <v>0.43958333333333333</v>
      </c>
      <c r="E519">
        <v>17836.849999999999</v>
      </c>
      <c r="F519" s="2">
        <v>0.44027777777777777</v>
      </c>
      <c r="G519">
        <v>17849.330000000002</v>
      </c>
      <c r="H519">
        <v>17849.330000000002</v>
      </c>
      <c r="I519">
        <v>17805.63</v>
      </c>
      <c r="J519" t="s">
        <v>15</v>
      </c>
      <c r="K519">
        <v>-12.49</v>
      </c>
      <c r="L519" s="9">
        <v>-1</v>
      </c>
      <c r="M519">
        <v>0</v>
      </c>
      <c r="N519">
        <f t="shared" si="16"/>
        <v>3</v>
      </c>
      <c r="O519">
        <f t="shared" si="17"/>
        <v>0</v>
      </c>
    </row>
    <row r="520" spans="1:15" x14ac:dyDescent="0.2">
      <c r="A520" s="1">
        <v>45370</v>
      </c>
      <c r="B520">
        <v>2</v>
      </c>
      <c r="C520" t="s">
        <v>16</v>
      </c>
      <c r="D520" s="2">
        <v>0.44861111111111113</v>
      </c>
      <c r="E520">
        <v>17882.169999999998</v>
      </c>
      <c r="F520" s="2">
        <v>0.45833333333333331</v>
      </c>
      <c r="G520">
        <v>17869.650000000001</v>
      </c>
      <c r="H520">
        <v>17869.650000000001</v>
      </c>
      <c r="I520">
        <v>17913.46</v>
      </c>
      <c r="J520" t="s">
        <v>15</v>
      </c>
      <c r="K520">
        <v>-12.52</v>
      </c>
      <c r="L520" s="9">
        <v>-1</v>
      </c>
      <c r="M520">
        <v>0</v>
      </c>
      <c r="N520">
        <f t="shared" si="16"/>
        <v>4</v>
      </c>
      <c r="O520">
        <f t="shared" si="17"/>
        <v>0</v>
      </c>
    </row>
    <row r="521" spans="1:15" x14ac:dyDescent="0.2">
      <c r="A521" s="1">
        <v>45373</v>
      </c>
      <c r="B521">
        <v>5</v>
      </c>
      <c r="C521" t="s">
        <v>13</v>
      </c>
      <c r="D521" s="2">
        <v>0.40763888888888888</v>
      </c>
      <c r="E521">
        <v>18277.72</v>
      </c>
      <c r="F521" s="2">
        <v>0.41111111111111109</v>
      </c>
      <c r="G521">
        <v>18290.509999999998</v>
      </c>
      <c r="H521">
        <v>18290.509999999998</v>
      </c>
      <c r="I521">
        <v>18245.73</v>
      </c>
      <c r="J521" t="s">
        <v>15</v>
      </c>
      <c r="K521">
        <v>-12.79</v>
      </c>
      <c r="L521" s="9">
        <v>-1</v>
      </c>
      <c r="M521">
        <v>0</v>
      </c>
      <c r="N521">
        <f t="shared" si="16"/>
        <v>5</v>
      </c>
      <c r="O521">
        <f t="shared" si="17"/>
        <v>0</v>
      </c>
    </row>
    <row r="522" spans="1:15" x14ac:dyDescent="0.2">
      <c r="A522" s="1">
        <v>45373</v>
      </c>
      <c r="B522">
        <v>5</v>
      </c>
      <c r="C522" t="s">
        <v>16</v>
      </c>
      <c r="D522" s="2">
        <v>0.42152777777777778</v>
      </c>
      <c r="E522">
        <v>18317.599999999999</v>
      </c>
      <c r="F522" s="2">
        <v>0.42291666666666666</v>
      </c>
      <c r="G522">
        <v>18304.78</v>
      </c>
      <c r="H522">
        <v>18304.78</v>
      </c>
      <c r="I522">
        <v>18349.66</v>
      </c>
      <c r="J522" t="s">
        <v>15</v>
      </c>
      <c r="K522">
        <v>-12.82</v>
      </c>
      <c r="L522" s="9">
        <v>-1</v>
      </c>
      <c r="M522">
        <v>0</v>
      </c>
      <c r="N522">
        <f t="shared" si="16"/>
        <v>6</v>
      </c>
      <c r="O522">
        <f t="shared" si="17"/>
        <v>0</v>
      </c>
    </row>
    <row r="523" spans="1:15" x14ac:dyDescent="0.2">
      <c r="A523" s="1">
        <v>45373</v>
      </c>
      <c r="B523">
        <v>5</v>
      </c>
      <c r="C523" t="s">
        <v>13</v>
      </c>
      <c r="D523" s="2">
        <v>0.44305555555555554</v>
      </c>
      <c r="E523">
        <v>18282.330000000002</v>
      </c>
      <c r="F523" s="2">
        <v>0.4597222222222222</v>
      </c>
      <c r="G523">
        <v>18295.13</v>
      </c>
      <c r="H523">
        <v>18295.13</v>
      </c>
      <c r="I523">
        <v>18250.330000000002</v>
      </c>
      <c r="J523" t="s">
        <v>15</v>
      </c>
      <c r="K523">
        <v>-12.8</v>
      </c>
      <c r="L523" s="9">
        <v>-1</v>
      </c>
      <c r="M523">
        <v>0</v>
      </c>
      <c r="N523">
        <f t="shared" si="16"/>
        <v>7</v>
      </c>
      <c r="O523">
        <f t="shared" si="17"/>
        <v>0</v>
      </c>
    </row>
    <row r="524" spans="1:15" x14ac:dyDescent="0.2">
      <c r="A524" s="1">
        <v>45376</v>
      </c>
      <c r="B524">
        <v>1</v>
      </c>
      <c r="C524" t="s">
        <v>13</v>
      </c>
      <c r="D524" s="2">
        <v>0.3972222222222222</v>
      </c>
      <c r="E524">
        <v>18226.34</v>
      </c>
      <c r="F524" s="2">
        <v>0.39791666666666664</v>
      </c>
      <c r="G524">
        <v>18239.09</v>
      </c>
      <c r="H524">
        <v>18239.09</v>
      </c>
      <c r="I524">
        <v>18194.439999999999</v>
      </c>
      <c r="J524" t="s">
        <v>15</v>
      </c>
      <c r="K524">
        <v>-12.76</v>
      </c>
      <c r="L524" s="9">
        <v>-1</v>
      </c>
      <c r="M524">
        <v>0</v>
      </c>
      <c r="N524">
        <f t="shared" si="16"/>
        <v>8</v>
      </c>
      <c r="O524">
        <f t="shared" si="17"/>
        <v>0</v>
      </c>
    </row>
    <row r="525" spans="1:15" x14ac:dyDescent="0.2">
      <c r="A525" s="1">
        <v>45376</v>
      </c>
      <c r="B525">
        <v>1</v>
      </c>
      <c r="C525" t="s">
        <v>16</v>
      </c>
      <c r="D525" s="2">
        <v>0.42638888888888887</v>
      </c>
      <c r="E525">
        <v>18282.36</v>
      </c>
      <c r="F525" s="2">
        <v>0.45</v>
      </c>
      <c r="G525">
        <v>18269.560000000001</v>
      </c>
      <c r="H525">
        <v>18269.560000000001</v>
      </c>
      <c r="I525">
        <v>18314.349999999999</v>
      </c>
      <c r="J525" t="s">
        <v>15</v>
      </c>
      <c r="K525">
        <v>-12.8</v>
      </c>
      <c r="L525" s="9">
        <v>-1</v>
      </c>
      <c r="M525">
        <v>0</v>
      </c>
      <c r="N525">
        <f t="shared" si="16"/>
        <v>9</v>
      </c>
      <c r="O525">
        <f t="shared" si="17"/>
        <v>0</v>
      </c>
    </row>
    <row r="526" spans="1:15" x14ac:dyDescent="0.2">
      <c r="A526" s="1">
        <v>45378</v>
      </c>
      <c r="B526">
        <v>3</v>
      </c>
      <c r="C526" t="s">
        <v>13</v>
      </c>
      <c r="D526" s="2">
        <v>0.40416666666666667</v>
      </c>
      <c r="E526">
        <v>18281.53</v>
      </c>
      <c r="F526" s="2">
        <v>0.40763888888888888</v>
      </c>
      <c r="G526">
        <v>18294.330000000002</v>
      </c>
      <c r="H526">
        <v>18294.330000000002</v>
      </c>
      <c r="I526">
        <v>18249.54</v>
      </c>
      <c r="J526" t="s">
        <v>15</v>
      </c>
      <c r="K526">
        <v>-12.8</v>
      </c>
      <c r="L526" s="9">
        <v>-1</v>
      </c>
      <c r="M526">
        <v>0</v>
      </c>
      <c r="N526">
        <f t="shared" si="16"/>
        <v>10</v>
      </c>
      <c r="O526">
        <f t="shared" si="17"/>
        <v>0</v>
      </c>
    </row>
    <row r="527" spans="1:15" x14ac:dyDescent="0.2">
      <c r="A527" s="1">
        <v>45384</v>
      </c>
      <c r="B527">
        <v>2</v>
      </c>
      <c r="C527" t="s">
        <v>13</v>
      </c>
      <c r="D527" s="2">
        <v>0.40555555555555556</v>
      </c>
      <c r="E527">
        <v>18035.060000000001</v>
      </c>
      <c r="F527" s="2">
        <v>0.41666666666666669</v>
      </c>
      <c r="G527">
        <v>18047.68</v>
      </c>
      <c r="H527">
        <v>18047.68</v>
      </c>
      <c r="I527">
        <v>18003.5</v>
      </c>
      <c r="J527" t="s">
        <v>15</v>
      </c>
      <c r="K527">
        <v>-12.62</v>
      </c>
      <c r="L527" s="9">
        <v>-1</v>
      </c>
      <c r="M527">
        <v>0</v>
      </c>
      <c r="N527">
        <f t="shared" si="16"/>
        <v>11</v>
      </c>
      <c r="O527">
        <f t="shared" si="17"/>
        <v>0</v>
      </c>
    </row>
    <row r="528" spans="1:15" x14ac:dyDescent="0.2">
      <c r="A528" s="1">
        <v>45384</v>
      </c>
      <c r="B528">
        <v>2</v>
      </c>
      <c r="C528" t="s">
        <v>13</v>
      </c>
      <c r="D528" s="2">
        <v>0.42777777777777776</v>
      </c>
      <c r="E528">
        <v>18014.669999999998</v>
      </c>
      <c r="F528" s="2">
        <v>0.43263888888888891</v>
      </c>
      <c r="G528">
        <v>18027.28</v>
      </c>
      <c r="H528">
        <v>18027.28</v>
      </c>
      <c r="I528">
        <v>17983.14</v>
      </c>
      <c r="J528" t="s">
        <v>15</v>
      </c>
      <c r="K528">
        <v>-12.61</v>
      </c>
      <c r="L528" s="9">
        <v>-1</v>
      </c>
      <c r="M528">
        <v>0</v>
      </c>
      <c r="N528">
        <f t="shared" si="16"/>
        <v>12</v>
      </c>
      <c r="O528">
        <f t="shared" si="17"/>
        <v>0</v>
      </c>
    </row>
    <row r="529" spans="1:15" x14ac:dyDescent="0.2">
      <c r="A529" s="1">
        <v>45384</v>
      </c>
      <c r="B529">
        <v>2</v>
      </c>
      <c r="C529" t="s">
        <v>13</v>
      </c>
      <c r="D529" s="2">
        <v>0.45763888888888887</v>
      </c>
      <c r="E529">
        <v>18013.240000000002</v>
      </c>
      <c r="F529" s="2">
        <v>0.46319444444444446</v>
      </c>
      <c r="G529">
        <v>18025.849999999999</v>
      </c>
      <c r="H529">
        <v>18025.849999999999</v>
      </c>
      <c r="I529">
        <v>17981.72</v>
      </c>
      <c r="J529" t="s">
        <v>15</v>
      </c>
      <c r="K529">
        <v>-12.61</v>
      </c>
      <c r="L529" s="9">
        <v>-1</v>
      </c>
      <c r="M529">
        <v>0</v>
      </c>
      <c r="N529">
        <f t="shared" si="16"/>
        <v>13</v>
      </c>
      <c r="O529">
        <f t="shared" si="17"/>
        <v>0</v>
      </c>
    </row>
    <row r="530" spans="1:15" x14ac:dyDescent="0.2">
      <c r="A530" s="1">
        <v>45386</v>
      </c>
      <c r="B530">
        <v>4</v>
      </c>
      <c r="C530" t="s">
        <v>13</v>
      </c>
      <c r="D530" s="2">
        <v>0.41319444444444442</v>
      </c>
      <c r="E530">
        <v>18320.349999999999</v>
      </c>
      <c r="F530" s="2">
        <v>0.43263888888888891</v>
      </c>
      <c r="G530">
        <v>18288.29</v>
      </c>
      <c r="H530">
        <v>18333.169999999998</v>
      </c>
      <c r="I530">
        <v>18288.29</v>
      </c>
      <c r="J530" t="s">
        <v>14</v>
      </c>
      <c r="K530">
        <v>32.06</v>
      </c>
      <c r="L530" s="9">
        <v>2.5</v>
      </c>
      <c r="M530">
        <v>1</v>
      </c>
      <c r="N530">
        <f t="shared" si="16"/>
        <v>0</v>
      </c>
      <c r="O530">
        <f t="shared" si="17"/>
        <v>1</v>
      </c>
    </row>
    <row r="531" spans="1:15" x14ac:dyDescent="0.2">
      <c r="A531" s="1">
        <v>45386</v>
      </c>
      <c r="B531">
        <v>4</v>
      </c>
      <c r="C531" t="s">
        <v>13</v>
      </c>
      <c r="D531" s="2">
        <v>0.45624999999999999</v>
      </c>
      <c r="E531">
        <v>18292.57</v>
      </c>
      <c r="F531" s="2">
        <v>0.46319444444444446</v>
      </c>
      <c r="G531">
        <v>18305.37</v>
      </c>
      <c r="H531">
        <v>18305.37</v>
      </c>
      <c r="I531">
        <v>18260.55</v>
      </c>
      <c r="J531" t="s">
        <v>15</v>
      </c>
      <c r="K531">
        <v>-12.8</v>
      </c>
      <c r="L531" s="9">
        <v>-1</v>
      </c>
      <c r="M531">
        <v>0</v>
      </c>
      <c r="N531">
        <f t="shared" si="16"/>
        <v>1</v>
      </c>
      <c r="O531">
        <f t="shared" si="17"/>
        <v>0</v>
      </c>
    </row>
    <row r="532" spans="1:15" x14ac:dyDescent="0.2">
      <c r="A532" s="1">
        <v>45387</v>
      </c>
      <c r="B532">
        <v>5</v>
      </c>
      <c r="C532" t="s">
        <v>16</v>
      </c>
      <c r="D532" s="2">
        <v>0.40972222222222221</v>
      </c>
      <c r="E532">
        <v>17991.91</v>
      </c>
      <c r="F532" s="2">
        <v>0.41249999999999998</v>
      </c>
      <c r="G532">
        <v>18023.39</v>
      </c>
      <c r="H532">
        <v>17979.310000000001</v>
      </c>
      <c r="I532">
        <v>18023.39</v>
      </c>
      <c r="J532" t="s">
        <v>14</v>
      </c>
      <c r="K532">
        <v>31.49</v>
      </c>
      <c r="L532" s="9">
        <v>2.5</v>
      </c>
      <c r="M532">
        <v>1</v>
      </c>
      <c r="N532">
        <f t="shared" si="16"/>
        <v>0</v>
      </c>
      <c r="O532">
        <f t="shared" si="17"/>
        <v>1</v>
      </c>
    </row>
    <row r="533" spans="1:15" x14ac:dyDescent="0.2">
      <c r="A533" s="1">
        <v>45387</v>
      </c>
      <c r="B533">
        <v>5</v>
      </c>
      <c r="C533" t="s">
        <v>16</v>
      </c>
      <c r="D533" s="2">
        <v>0.44791666666666669</v>
      </c>
      <c r="E533">
        <v>18040.990000000002</v>
      </c>
      <c r="F533" s="2">
        <v>0.45069444444444445</v>
      </c>
      <c r="G533">
        <v>18072.560000000001</v>
      </c>
      <c r="H533">
        <v>18028.36</v>
      </c>
      <c r="I533">
        <v>18072.560000000001</v>
      </c>
      <c r="J533" t="s">
        <v>14</v>
      </c>
      <c r="K533">
        <v>31.57</v>
      </c>
      <c r="L533" s="9">
        <v>2.5</v>
      </c>
      <c r="M533">
        <v>1</v>
      </c>
      <c r="N533">
        <f t="shared" si="16"/>
        <v>0</v>
      </c>
      <c r="O533">
        <f t="shared" si="17"/>
        <v>2</v>
      </c>
    </row>
    <row r="534" spans="1:15" x14ac:dyDescent="0.2">
      <c r="A534" s="1">
        <v>45390</v>
      </c>
      <c r="B534">
        <v>1</v>
      </c>
      <c r="C534" t="s">
        <v>13</v>
      </c>
      <c r="D534" s="2">
        <v>0.40069444444444446</v>
      </c>
      <c r="E534">
        <v>18096.310000000001</v>
      </c>
      <c r="F534" s="2">
        <v>0.40208333333333335</v>
      </c>
      <c r="G534">
        <v>18064.64</v>
      </c>
      <c r="H534">
        <v>18108.98</v>
      </c>
      <c r="I534">
        <v>18064.64</v>
      </c>
      <c r="J534" t="s">
        <v>14</v>
      </c>
      <c r="K534">
        <v>31.67</v>
      </c>
      <c r="L534" s="9">
        <v>2.5</v>
      </c>
      <c r="M534">
        <v>1</v>
      </c>
      <c r="N534">
        <f t="shared" si="16"/>
        <v>0</v>
      </c>
      <c r="O534">
        <f t="shared" si="17"/>
        <v>3</v>
      </c>
    </row>
    <row r="535" spans="1:15" x14ac:dyDescent="0.2">
      <c r="A535" s="1">
        <v>45390</v>
      </c>
      <c r="B535">
        <v>1</v>
      </c>
      <c r="C535" t="s">
        <v>16</v>
      </c>
      <c r="D535" s="2">
        <v>0.44027777777777777</v>
      </c>
      <c r="E535">
        <v>18164.830000000002</v>
      </c>
      <c r="F535" s="2">
        <v>0.44513888888888886</v>
      </c>
      <c r="G535">
        <v>18152.11</v>
      </c>
      <c r="H535">
        <v>18152.11</v>
      </c>
      <c r="I535">
        <v>18196.62</v>
      </c>
      <c r="J535" t="s">
        <v>15</v>
      </c>
      <c r="K535">
        <v>-12.72</v>
      </c>
      <c r="L535" s="9">
        <v>-1</v>
      </c>
      <c r="M535">
        <v>0</v>
      </c>
      <c r="N535">
        <f t="shared" si="16"/>
        <v>1</v>
      </c>
      <c r="O535">
        <f t="shared" si="17"/>
        <v>0</v>
      </c>
    </row>
    <row r="536" spans="1:15" x14ac:dyDescent="0.2">
      <c r="A536" s="1">
        <v>45390</v>
      </c>
      <c r="B536">
        <v>1</v>
      </c>
      <c r="C536" t="s">
        <v>16</v>
      </c>
      <c r="D536" s="2">
        <v>0.45416666666666666</v>
      </c>
      <c r="E536">
        <v>18174.82</v>
      </c>
      <c r="F536" s="2">
        <v>0.45902777777777776</v>
      </c>
      <c r="G536">
        <v>18162.099999999999</v>
      </c>
      <c r="H536">
        <v>18162.099999999999</v>
      </c>
      <c r="I536">
        <v>18206.63</v>
      </c>
      <c r="J536" t="s">
        <v>15</v>
      </c>
      <c r="K536">
        <v>-12.72</v>
      </c>
      <c r="L536" s="9">
        <v>-1</v>
      </c>
      <c r="M536">
        <v>0</v>
      </c>
      <c r="N536">
        <f t="shared" si="16"/>
        <v>2</v>
      </c>
      <c r="O536">
        <f t="shared" si="17"/>
        <v>0</v>
      </c>
    </row>
    <row r="537" spans="1:15" x14ac:dyDescent="0.2">
      <c r="A537" s="1">
        <v>45391</v>
      </c>
      <c r="B537">
        <v>2</v>
      </c>
      <c r="C537" t="s">
        <v>13</v>
      </c>
      <c r="D537" s="2">
        <v>0.42291666666666666</v>
      </c>
      <c r="E537">
        <v>18151.62</v>
      </c>
      <c r="F537" s="2">
        <v>0.42569444444444443</v>
      </c>
      <c r="G537">
        <v>18164.330000000002</v>
      </c>
      <c r="H537">
        <v>18164.330000000002</v>
      </c>
      <c r="I537">
        <v>18119.86</v>
      </c>
      <c r="J537" t="s">
        <v>15</v>
      </c>
      <c r="K537">
        <v>-12.71</v>
      </c>
      <c r="L537" s="9">
        <v>-1</v>
      </c>
      <c r="M537">
        <v>0</v>
      </c>
      <c r="N537">
        <f t="shared" si="16"/>
        <v>3</v>
      </c>
      <c r="O537">
        <f t="shared" si="17"/>
        <v>0</v>
      </c>
    </row>
    <row r="538" spans="1:15" x14ac:dyDescent="0.2">
      <c r="A538" s="1">
        <v>45391</v>
      </c>
      <c r="B538">
        <v>2</v>
      </c>
      <c r="C538" t="s">
        <v>13</v>
      </c>
      <c r="D538" s="2">
        <v>0.43958333333333333</v>
      </c>
      <c r="E538">
        <v>18070.87</v>
      </c>
      <c r="F538" s="2">
        <v>0.44166666666666665</v>
      </c>
      <c r="G538">
        <v>18039.240000000002</v>
      </c>
      <c r="H538">
        <v>18083.52</v>
      </c>
      <c r="I538">
        <v>18039.240000000002</v>
      </c>
      <c r="J538" t="s">
        <v>14</v>
      </c>
      <c r="K538">
        <v>31.62</v>
      </c>
      <c r="L538" s="9">
        <v>2.5</v>
      </c>
      <c r="M538">
        <v>1</v>
      </c>
      <c r="N538">
        <f t="shared" si="16"/>
        <v>0</v>
      </c>
      <c r="O538">
        <f t="shared" si="17"/>
        <v>1</v>
      </c>
    </row>
    <row r="539" spans="1:15" x14ac:dyDescent="0.2">
      <c r="A539" s="1">
        <v>45392</v>
      </c>
      <c r="B539">
        <v>3</v>
      </c>
      <c r="C539" t="s">
        <v>16</v>
      </c>
      <c r="D539" s="2">
        <v>0.40069444444444446</v>
      </c>
      <c r="E539">
        <v>17969.990000000002</v>
      </c>
      <c r="F539" s="2">
        <v>0.40555555555555556</v>
      </c>
      <c r="G539">
        <v>18001.439999999999</v>
      </c>
      <c r="H539">
        <v>17957.41</v>
      </c>
      <c r="I539">
        <v>18001.439999999999</v>
      </c>
      <c r="J539" t="s">
        <v>14</v>
      </c>
      <c r="K539">
        <v>31.45</v>
      </c>
      <c r="L539" s="9">
        <v>2.5</v>
      </c>
      <c r="M539">
        <v>1</v>
      </c>
      <c r="N539">
        <f t="shared" si="16"/>
        <v>0</v>
      </c>
      <c r="O539">
        <f t="shared" si="17"/>
        <v>2</v>
      </c>
    </row>
    <row r="540" spans="1:15" x14ac:dyDescent="0.2">
      <c r="A540" s="1">
        <v>45392</v>
      </c>
      <c r="B540">
        <v>3</v>
      </c>
      <c r="C540" t="s">
        <v>16</v>
      </c>
      <c r="D540" s="2">
        <v>0.4152777777777778</v>
      </c>
      <c r="E540">
        <v>18007.84</v>
      </c>
      <c r="F540" s="2">
        <v>0.41597222222222224</v>
      </c>
      <c r="G540">
        <v>17995.240000000002</v>
      </c>
      <c r="H540">
        <v>17995.240000000002</v>
      </c>
      <c r="I540">
        <v>18039.36</v>
      </c>
      <c r="J540" t="s">
        <v>15</v>
      </c>
      <c r="K540">
        <v>-12.61</v>
      </c>
      <c r="L540" s="9">
        <v>-1</v>
      </c>
      <c r="M540">
        <v>0</v>
      </c>
      <c r="N540">
        <f t="shared" si="16"/>
        <v>1</v>
      </c>
      <c r="O540">
        <f t="shared" si="17"/>
        <v>0</v>
      </c>
    </row>
    <row r="541" spans="1:15" x14ac:dyDescent="0.2">
      <c r="A541" s="1">
        <v>45392</v>
      </c>
      <c r="B541">
        <v>3</v>
      </c>
      <c r="C541" t="s">
        <v>16</v>
      </c>
      <c r="D541" s="2">
        <v>0.44583333333333336</v>
      </c>
      <c r="E541">
        <v>18032.349999999999</v>
      </c>
      <c r="F541" s="2">
        <v>0.44722222222222224</v>
      </c>
      <c r="G541">
        <v>18019.72</v>
      </c>
      <c r="H541">
        <v>18019.72</v>
      </c>
      <c r="I541">
        <v>18063.900000000001</v>
      </c>
      <c r="J541" t="s">
        <v>15</v>
      </c>
      <c r="K541">
        <v>-12.62</v>
      </c>
      <c r="L541" s="9">
        <v>-1</v>
      </c>
      <c r="M541">
        <v>0</v>
      </c>
      <c r="N541">
        <f t="shared" si="16"/>
        <v>2</v>
      </c>
      <c r="O541">
        <f t="shared" si="17"/>
        <v>0</v>
      </c>
    </row>
    <row r="542" spans="1:15" x14ac:dyDescent="0.2">
      <c r="A542" s="1">
        <v>45393</v>
      </c>
      <c r="B542">
        <v>4</v>
      </c>
      <c r="C542" t="s">
        <v>13</v>
      </c>
      <c r="D542" s="2">
        <v>0.42638888888888887</v>
      </c>
      <c r="E542">
        <v>18040.11</v>
      </c>
      <c r="F542" s="2">
        <v>0.42708333333333331</v>
      </c>
      <c r="G542">
        <v>18008.54</v>
      </c>
      <c r="H542">
        <v>18052.740000000002</v>
      </c>
      <c r="I542">
        <v>18008.54</v>
      </c>
      <c r="J542" t="s">
        <v>14</v>
      </c>
      <c r="K542">
        <v>31.57</v>
      </c>
      <c r="L542" s="9">
        <v>2.5</v>
      </c>
      <c r="M542">
        <v>1</v>
      </c>
      <c r="N542">
        <f t="shared" si="16"/>
        <v>0</v>
      </c>
      <c r="O542">
        <f t="shared" si="17"/>
        <v>1</v>
      </c>
    </row>
    <row r="543" spans="1:15" x14ac:dyDescent="0.2">
      <c r="A543" s="1">
        <v>45393</v>
      </c>
      <c r="B543">
        <v>4</v>
      </c>
      <c r="C543" t="s">
        <v>16</v>
      </c>
      <c r="D543" s="2">
        <v>0.44583333333333336</v>
      </c>
      <c r="E543">
        <v>18062.849999999999</v>
      </c>
      <c r="F543" s="2">
        <v>0.46944444444444444</v>
      </c>
      <c r="G543">
        <v>18094.46</v>
      </c>
      <c r="H543">
        <v>18050.21</v>
      </c>
      <c r="I543">
        <v>18094.46</v>
      </c>
      <c r="J543" t="s">
        <v>14</v>
      </c>
      <c r="K543">
        <v>31.61</v>
      </c>
      <c r="L543" s="9">
        <v>2.5</v>
      </c>
      <c r="M543">
        <v>1</v>
      </c>
      <c r="N543">
        <f t="shared" si="16"/>
        <v>0</v>
      </c>
      <c r="O543">
        <f t="shared" si="17"/>
        <v>2</v>
      </c>
    </row>
    <row r="544" spans="1:15" x14ac:dyDescent="0.2">
      <c r="A544" s="1">
        <v>45394</v>
      </c>
      <c r="B544">
        <v>5</v>
      </c>
      <c r="C544" t="s">
        <v>16</v>
      </c>
      <c r="D544" s="2">
        <v>0.40902777777777777</v>
      </c>
      <c r="E544">
        <v>18142.330000000002</v>
      </c>
      <c r="F544" s="2">
        <v>0.41666666666666669</v>
      </c>
      <c r="G544">
        <v>18129.63</v>
      </c>
      <c r="H544">
        <v>18129.63</v>
      </c>
      <c r="I544">
        <v>18174.07</v>
      </c>
      <c r="J544" t="s">
        <v>15</v>
      </c>
      <c r="K544">
        <v>-12.7</v>
      </c>
      <c r="L544" s="9">
        <v>-1</v>
      </c>
      <c r="M544">
        <v>0</v>
      </c>
      <c r="N544">
        <f t="shared" si="16"/>
        <v>1</v>
      </c>
      <c r="O544">
        <f t="shared" si="17"/>
        <v>0</v>
      </c>
    </row>
    <row r="545" spans="1:15" x14ac:dyDescent="0.2">
      <c r="A545" s="1">
        <v>45394</v>
      </c>
      <c r="B545">
        <v>5</v>
      </c>
      <c r="C545" t="s">
        <v>13</v>
      </c>
      <c r="D545" s="2">
        <v>0.4465277777777778</v>
      </c>
      <c r="E545">
        <v>18058.39</v>
      </c>
      <c r="F545" s="2">
        <v>0.45763888888888887</v>
      </c>
      <c r="G545">
        <v>18026.79</v>
      </c>
      <c r="H545">
        <v>18071.04</v>
      </c>
      <c r="I545">
        <v>18026.79</v>
      </c>
      <c r="J545" t="s">
        <v>14</v>
      </c>
      <c r="K545">
        <v>31.6</v>
      </c>
      <c r="L545" s="9">
        <v>2.5</v>
      </c>
      <c r="M545">
        <v>1</v>
      </c>
      <c r="N545">
        <f t="shared" si="16"/>
        <v>0</v>
      </c>
      <c r="O545">
        <f t="shared" si="17"/>
        <v>1</v>
      </c>
    </row>
    <row r="546" spans="1:15" x14ac:dyDescent="0.2">
      <c r="A546" s="1">
        <v>45397</v>
      </c>
      <c r="B546">
        <v>1</v>
      </c>
      <c r="C546" t="s">
        <v>13</v>
      </c>
      <c r="D546" s="2">
        <v>0.40069444444444446</v>
      </c>
      <c r="E546">
        <v>18105.509999999998</v>
      </c>
      <c r="F546" s="2">
        <v>0.40208333333333335</v>
      </c>
      <c r="G546">
        <v>18118.18</v>
      </c>
      <c r="H546">
        <v>18118.18</v>
      </c>
      <c r="I546">
        <v>18073.830000000002</v>
      </c>
      <c r="J546" t="s">
        <v>15</v>
      </c>
      <c r="K546">
        <v>-12.67</v>
      </c>
      <c r="L546" s="9">
        <v>-1</v>
      </c>
      <c r="M546">
        <v>0</v>
      </c>
      <c r="N546">
        <f t="shared" si="16"/>
        <v>1</v>
      </c>
      <c r="O546">
        <f t="shared" si="17"/>
        <v>0</v>
      </c>
    </row>
    <row r="547" spans="1:15" x14ac:dyDescent="0.2">
      <c r="A547" s="1">
        <v>45397</v>
      </c>
      <c r="B547">
        <v>1</v>
      </c>
      <c r="C547" t="s">
        <v>13</v>
      </c>
      <c r="D547" s="2">
        <v>0.42569444444444443</v>
      </c>
      <c r="E547">
        <v>18057.400000000001</v>
      </c>
      <c r="F547" s="2">
        <v>0.42708333333333331</v>
      </c>
      <c r="G547">
        <v>18070.04</v>
      </c>
      <c r="H547">
        <v>18070.04</v>
      </c>
      <c r="I547">
        <v>18025.8</v>
      </c>
      <c r="J547" t="s">
        <v>15</v>
      </c>
      <c r="K547">
        <v>-12.64</v>
      </c>
      <c r="L547" s="9">
        <v>-1</v>
      </c>
      <c r="M547">
        <v>0</v>
      </c>
      <c r="N547">
        <f t="shared" si="16"/>
        <v>2</v>
      </c>
      <c r="O547">
        <f t="shared" si="17"/>
        <v>0</v>
      </c>
    </row>
    <row r="548" spans="1:15" x14ac:dyDescent="0.2">
      <c r="A548" s="1">
        <v>45398</v>
      </c>
      <c r="B548">
        <v>2</v>
      </c>
      <c r="C548" t="s">
        <v>13</v>
      </c>
      <c r="D548" s="2">
        <v>0.40833333333333333</v>
      </c>
      <c r="E548">
        <v>17675.22</v>
      </c>
      <c r="F548" s="2">
        <v>0.40902777777777777</v>
      </c>
      <c r="G548">
        <v>17687.59</v>
      </c>
      <c r="H548">
        <v>17687.59</v>
      </c>
      <c r="I548">
        <v>17644.29</v>
      </c>
      <c r="J548" t="s">
        <v>15</v>
      </c>
      <c r="K548">
        <v>-12.37</v>
      </c>
      <c r="L548" s="9">
        <v>-1</v>
      </c>
      <c r="M548">
        <v>0</v>
      </c>
      <c r="N548">
        <f t="shared" si="16"/>
        <v>3</v>
      </c>
      <c r="O548">
        <f t="shared" si="17"/>
        <v>0</v>
      </c>
    </row>
    <row r="549" spans="1:15" x14ac:dyDescent="0.2">
      <c r="A549" s="1">
        <v>45398</v>
      </c>
      <c r="B549">
        <v>2</v>
      </c>
      <c r="C549" t="s">
        <v>16</v>
      </c>
      <c r="D549" s="2">
        <v>0.42499999999999999</v>
      </c>
      <c r="E549">
        <v>17727.830000000002</v>
      </c>
      <c r="F549" s="2">
        <v>0.42708333333333331</v>
      </c>
      <c r="G549">
        <v>17758.849999999999</v>
      </c>
      <c r="H549">
        <v>17715.419999999998</v>
      </c>
      <c r="I549">
        <v>17758.849999999999</v>
      </c>
      <c r="J549" t="s">
        <v>14</v>
      </c>
      <c r="K549">
        <v>31.02</v>
      </c>
      <c r="L549" s="9">
        <v>2.5</v>
      </c>
      <c r="M549">
        <v>1</v>
      </c>
      <c r="N549">
        <f t="shared" si="16"/>
        <v>0</v>
      </c>
      <c r="O549">
        <f t="shared" si="17"/>
        <v>1</v>
      </c>
    </row>
    <row r="550" spans="1:15" x14ac:dyDescent="0.2">
      <c r="A550" s="1">
        <v>45398</v>
      </c>
      <c r="B550">
        <v>2</v>
      </c>
      <c r="C550" t="s">
        <v>13</v>
      </c>
      <c r="D550" s="2">
        <v>0.44027777777777777</v>
      </c>
      <c r="E550">
        <v>17702.84</v>
      </c>
      <c r="F550" s="2">
        <v>0.44236111111111109</v>
      </c>
      <c r="G550">
        <v>17671.86</v>
      </c>
      <c r="H550">
        <v>17715.23</v>
      </c>
      <c r="I550">
        <v>17671.86</v>
      </c>
      <c r="J550" t="s">
        <v>14</v>
      </c>
      <c r="K550">
        <v>30.98</v>
      </c>
      <c r="L550" s="9">
        <v>2.5</v>
      </c>
      <c r="M550">
        <v>1</v>
      </c>
      <c r="N550">
        <f t="shared" si="16"/>
        <v>0</v>
      </c>
      <c r="O550">
        <f t="shared" si="17"/>
        <v>2</v>
      </c>
    </row>
    <row r="551" spans="1:15" x14ac:dyDescent="0.2">
      <c r="A551" s="1">
        <v>45399</v>
      </c>
      <c r="B551">
        <v>3</v>
      </c>
      <c r="C551" t="s">
        <v>13</v>
      </c>
      <c r="D551" s="2">
        <v>0.41180555555555554</v>
      </c>
      <c r="E551">
        <v>17737.38</v>
      </c>
      <c r="F551" s="2">
        <v>0.41805555555555557</v>
      </c>
      <c r="G551">
        <v>17706.34</v>
      </c>
      <c r="H551">
        <v>17749.8</v>
      </c>
      <c r="I551">
        <v>17706.34</v>
      </c>
      <c r="J551" t="s">
        <v>14</v>
      </c>
      <c r="K551">
        <v>31.04</v>
      </c>
      <c r="L551" s="9">
        <v>2.5</v>
      </c>
      <c r="M551">
        <v>1</v>
      </c>
      <c r="N551">
        <f t="shared" si="16"/>
        <v>0</v>
      </c>
      <c r="O551">
        <f t="shared" si="17"/>
        <v>3</v>
      </c>
    </row>
    <row r="552" spans="1:15" x14ac:dyDescent="0.2">
      <c r="A552" s="1">
        <v>45400</v>
      </c>
      <c r="B552">
        <v>4</v>
      </c>
      <c r="C552" t="s">
        <v>13</v>
      </c>
      <c r="D552" s="2">
        <v>0.39583333333333331</v>
      </c>
      <c r="E552">
        <v>17522.3</v>
      </c>
      <c r="F552" s="2">
        <v>0.39652777777777776</v>
      </c>
      <c r="G552">
        <v>17491.64</v>
      </c>
      <c r="H552">
        <v>17534.57</v>
      </c>
      <c r="I552">
        <v>17491.64</v>
      </c>
      <c r="J552" t="s">
        <v>14</v>
      </c>
      <c r="K552">
        <v>30.66</v>
      </c>
      <c r="L552" s="9">
        <v>2.5</v>
      </c>
      <c r="M552">
        <v>1</v>
      </c>
      <c r="N552">
        <f t="shared" si="16"/>
        <v>0</v>
      </c>
      <c r="O552">
        <f t="shared" si="17"/>
        <v>4</v>
      </c>
    </row>
    <row r="553" spans="1:15" x14ac:dyDescent="0.2">
      <c r="A553" s="1">
        <v>45400</v>
      </c>
      <c r="B553">
        <v>4</v>
      </c>
      <c r="C553" t="s">
        <v>16</v>
      </c>
      <c r="D553" s="2">
        <v>0.44305555555555554</v>
      </c>
      <c r="E553">
        <v>17538.12</v>
      </c>
      <c r="F553" s="2">
        <v>0.45555555555555555</v>
      </c>
      <c r="G553">
        <v>17568.810000000001</v>
      </c>
      <c r="H553">
        <v>17525.84</v>
      </c>
      <c r="I553">
        <v>17568.810000000001</v>
      </c>
      <c r="J553" t="s">
        <v>14</v>
      </c>
      <c r="K553">
        <v>30.69</v>
      </c>
      <c r="L553" s="9">
        <v>2.5</v>
      </c>
      <c r="M553">
        <v>1</v>
      </c>
      <c r="N553">
        <f t="shared" si="16"/>
        <v>0</v>
      </c>
      <c r="O553">
        <f t="shared" si="17"/>
        <v>5</v>
      </c>
    </row>
    <row r="554" spans="1:15" x14ac:dyDescent="0.2">
      <c r="A554" s="1">
        <v>45401</v>
      </c>
      <c r="B554">
        <v>5</v>
      </c>
      <c r="C554" t="s">
        <v>13</v>
      </c>
      <c r="D554" s="2">
        <v>0.40277777777777779</v>
      </c>
      <c r="E554">
        <v>17300</v>
      </c>
      <c r="F554" s="2">
        <v>0.40347222222222223</v>
      </c>
      <c r="G554">
        <v>17312.11</v>
      </c>
      <c r="H554">
        <v>17312.11</v>
      </c>
      <c r="I554">
        <v>17269.72</v>
      </c>
      <c r="J554" t="s">
        <v>15</v>
      </c>
      <c r="K554">
        <v>-12.11</v>
      </c>
      <c r="L554" s="9">
        <v>-1</v>
      </c>
      <c r="M554">
        <v>0</v>
      </c>
      <c r="N554">
        <f t="shared" si="16"/>
        <v>1</v>
      </c>
      <c r="O554">
        <f t="shared" si="17"/>
        <v>0</v>
      </c>
    </row>
    <row r="555" spans="1:15" x14ac:dyDescent="0.2">
      <c r="A555" s="1">
        <v>45401</v>
      </c>
      <c r="B555">
        <v>5</v>
      </c>
      <c r="C555" t="s">
        <v>13</v>
      </c>
      <c r="D555" s="2">
        <v>0.41944444444444445</v>
      </c>
      <c r="E555">
        <v>17306.849999999999</v>
      </c>
      <c r="F555" s="2">
        <v>0.4236111111111111</v>
      </c>
      <c r="G555">
        <v>17276.560000000001</v>
      </c>
      <c r="H555">
        <v>17318.96</v>
      </c>
      <c r="I555">
        <v>17276.560000000001</v>
      </c>
      <c r="J555" t="s">
        <v>14</v>
      </c>
      <c r="K555">
        <v>30.29</v>
      </c>
      <c r="L555" s="9">
        <v>2.5</v>
      </c>
      <c r="M555">
        <v>1</v>
      </c>
      <c r="N555">
        <f t="shared" si="16"/>
        <v>0</v>
      </c>
      <c r="O555">
        <f t="shared" si="17"/>
        <v>1</v>
      </c>
    </row>
    <row r="556" spans="1:15" x14ac:dyDescent="0.2">
      <c r="A556" s="1">
        <v>45404</v>
      </c>
      <c r="B556">
        <v>1</v>
      </c>
      <c r="C556" t="s">
        <v>13</v>
      </c>
      <c r="D556" s="2">
        <v>0.39791666666666664</v>
      </c>
      <c r="E556">
        <v>17145.509999999998</v>
      </c>
      <c r="F556" s="2">
        <v>0.39861111111111114</v>
      </c>
      <c r="G556">
        <v>17157.52</v>
      </c>
      <c r="H556">
        <v>17157.52</v>
      </c>
      <c r="I556">
        <v>17115.509999999998</v>
      </c>
      <c r="J556" t="s">
        <v>15</v>
      </c>
      <c r="K556">
        <v>-12</v>
      </c>
      <c r="L556" s="9">
        <v>-1</v>
      </c>
      <c r="M556">
        <v>0</v>
      </c>
      <c r="N556">
        <f t="shared" si="16"/>
        <v>1</v>
      </c>
      <c r="O556">
        <f t="shared" si="17"/>
        <v>0</v>
      </c>
    </row>
    <row r="557" spans="1:15" x14ac:dyDescent="0.2">
      <c r="A557" s="1">
        <v>45404</v>
      </c>
      <c r="B557">
        <v>1</v>
      </c>
      <c r="C557" t="s">
        <v>13</v>
      </c>
      <c r="D557" s="2">
        <v>0.4284722222222222</v>
      </c>
      <c r="E557">
        <v>17128.080000000002</v>
      </c>
      <c r="F557" s="2">
        <v>0.43125000000000002</v>
      </c>
      <c r="G557">
        <v>17098.11</v>
      </c>
      <c r="H557">
        <v>17140.07</v>
      </c>
      <c r="I557">
        <v>17098.11</v>
      </c>
      <c r="J557" t="s">
        <v>14</v>
      </c>
      <c r="K557">
        <v>29.97</v>
      </c>
      <c r="L557" s="9">
        <v>2.5</v>
      </c>
      <c r="M557">
        <v>1</v>
      </c>
      <c r="N557">
        <f t="shared" si="16"/>
        <v>0</v>
      </c>
      <c r="O557">
        <f t="shared" si="17"/>
        <v>1</v>
      </c>
    </row>
    <row r="558" spans="1:15" x14ac:dyDescent="0.2">
      <c r="A558" s="1">
        <v>45404</v>
      </c>
      <c r="B558">
        <v>1</v>
      </c>
      <c r="C558" t="s">
        <v>13</v>
      </c>
      <c r="D558" s="2">
        <v>0.45555555555555555</v>
      </c>
      <c r="E558">
        <v>17037.099999999999</v>
      </c>
      <c r="F558" s="2">
        <v>0.46875</v>
      </c>
      <c r="G558">
        <v>17007.28</v>
      </c>
      <c r="H558">
        <v>17049.02</v>
      </c>
      <c r="I558">
        <v>17007.28</v>
      </c>
      <c r="J558" t="s">
        <v>14</v>
      </c>
      <c r="K558">
        <v>29.81</v>
      </c>
      <c r="L558" s="9">
        <v>2.5</v>
      </c>
      <c r="M558">
        <v>1</v>
      </c>
      <c r="N558">
        <f t="shared" si="16"/>
        <v>0</v>
      </c>
      <c r="O558">
        <f t="shared" si="17"/>
        <v>2</v>
      </c>
    </row>
    <row r="559" spans="1:15" x14ac:dyDescent="0.2">
      <c r="A559" s="1">
        <v>45406</v>
      </c>
      <c r="B559">
        <v>3</v>
      </c>
      <c r="C559" t="s">
        <v>16</v>
      </c>
      <c r="D559" s="2">
        <v>0.40277777777777779</v>
      </c>
      <c r="E559">
        <v>17620.2</v>
      </c>
      <c r="F559" s="2">
        <v>0.40902777777777777</v>
      </c>
      <c r="G559">
        <v>17651.03</v>
      </c>
      <c r="H559">
        <v>17607.87</v>
      </c>
      <c r="I559">
        <v>17651.03</v>
      </c>
      <c r="J559" t="s">
        <v>14</v>
      </c>
      <c r="K559">
        <v>30.84</v>
      </c>
      <c r="L559" s="9">
        <v>2.5</v>
      </c>
      <c r="M559">
        <v>1</v>
      </c>
      <c r="N559">
        <f t="shared" si="16"/>
        <v>0</v>
      </c>
      <c r="O559">
        <f t="shared" si="17"/>
        <v>3</v>
      </c>
    </row>
    <row r="560" spans="1:15" x14ac:dyDescent="0.2">
      <c r="A560" s="1">
        <v>45406</v>
      </c>
      <c r="B560">
        <v>3</v>
      </c>
      <c r="C560" t="s">
        <v>13</v>
      </c>
      <c r="D560" s="2">
        <v>0.43125000000000002</v>
      </c>
      <c r="E560">
        <v>17588.830000000002</v>
      </c>
      <c r="F560" s="2">
        <v>0.43263888888888891</v>
      </c>
      <c r="G560">
        <v>17601.14</v>
      </c>
      <c r="H560">
        <v>17601.14</v>
      </c>
      <c r="I560">
        <v>17558.05</v>
      </c>
      <c r="J560" t="s">
        <v>15</v>
      </c>
      <c r="K560">
        <v>-12.31</v>
      </c>
      <c r="L560" s="9">
        <v>-1</v>
      </c>
      <c r="M560">
        <v>0</v>
      </c>
      <c r="N560">
        <f t="shared" si="16"/>
        <v>1</v>
      </c>
      <c r="O560">
        <f t="shared" si="17"/>
        <v>0</v>
      </c>
    </row>
    <row r="561" spans="1:15" x14ac:dyDescent="0.2">
      <c r="A561" s="1">
        <v>45407</v>
      </c>
      <c r="B561">
        <v>4</v>
      </c>
      <c r="C561" t="s">
        <v>16</v>
      </c>
      <c r="D561" s="2">
        <v>0.42777777777777776</v>
      </c>
      <c r="E561">
        <v>17277.490000000002</v>
      </c>
      <c r="F561" s="2">
        <v>0.42916666666666664</v>
      </c>
      <c r="G561">
        <v>17307.73</v>
      </c>
      <c r="H561">
        <v>17265.400000000001</v>
      </c>
      <c r="I561">
        <v>17307.73</v>
      </c>
      <c r="J561" t="s">
        <v>14</v>
      </c>
      <c r="K561">
        <v>30.24</v>
      </c>
      <c r="L561" s="9">
        <v>2.5</v>
      </c>
      <c r="M561">
        <v>1</v>
      </c>
      <c r="N561">
        <f t="shared" si="16"/>
        <v>0</v>
      </c>
      <c r="O561">
        <f t="shared" si="17"/>
        <v>1</v>
      </c>
    </row>
    <row r="562" spans="1:15" x14ac:dyDescent="0.2">
      <c r="A562" s="1">
        <v>45407</v>
      </c>
      <c r="B562">
        <v>4</v>
      </c>
      <c r="C562" t="s">
        <v>13</v>
      </c>
      <c r="D562" s="2">
        <v>0.45208333333333334</v>
      </c>
      <c r="E562">
        <v>17246.8</v>
      </c>
      <c r="F562" s="2">
        <v>0.4548611111111111</v>
      </c>
      <c r="G562">
        <v>17216.62</v>
      </c>
      <c r="H562">
        <v>17258.87</v>
      </c>
      <c r="I562">
        <v>17216.62</v>
      </c>
      <c r="J562" t="s">
        <v>14</v>
      </c>
      <c r="K562">
        <v>30.18</v>
      </c>
      <c r="L562" s="9">
        <v>2.5</v>
      </c>
      <c r="M562">
        <v>1</v>
      </c>
      <c r="N562">
        <f t="shared" si="16"/>
        <v>0</v>
      </c>
      <c r="O562">
        <f t="shared" si="17"/>
        <v>2</v>
      </c>
    </row>
    <row r="563" spans="1:15" x14ac:dyDescent="0.2">
      <c r="A563" s="1">
        <v>45411</v>
      </c>
      <c r="B563">
        <v>1</v>
      </c>
      <c r="C563" t="s">
        <v>13</v>
      </c>
      <c r="D563" s="2">
        <v>0.41319444444444442</v>
      </c>
      <c r="E563">
        <v>17714.09</v>
      </c>
      <c r="F563" s="2">
        <v>0.41458333333333336</v>
      </c>
      <c r="G563">
        <v>17726.490000000002</v>
      </c>
      <c r="H563">
        <v>17726.490000000002</v>
      </c>
      <c r="I563">
        <v>17683.09</v>
      </c>
      <c r="J563" t="s">
        <v>15</v>
      </c>
      <c r="K563">
        <v>-12.4</v>
      </c>
      <c r="L563" s="9">
        <v>-1</v>
      </c>
      <c r="M563">
        <v>0</v>
      </c>
      <c r="N563">
        <f t="shared" si="16"/>
        <v>1</v>
      </c>
      <c r="O563">
        <f t="shared" si="17"/>
        <v>0</v>
      </c>
    </row>
    <row r="564" spans="1:15" x14ac:dyDescent="0.2">
      <c r="A564" s="1">
        <v>45411</v>
      </c>
      <c r="B564">
        <v>1</v>
      </c>
      <c r="C564" t="s">
        <v>16</v>
      </c>
      <c r="D564" s="2">
        <v>0.42638888888888887</v>
      </c>
      <c r="E564">
        <v>17764.87</v>
      </c>
      <c r="F564" s="2">
        <v>0.43333333333333335</v>
      </c>
      <c r="G564">
        <v>17752.43</v>
      </c>
      <c r="H564">
        <v>17752.43</v>
      </c>
      <c r="I564">
        <v>17795.96</v>
      </c>
      <c r="J564" t="s">
        <v>15</v>
      </c>
      <c r="K564">
        <v>-12.44</v>
      </c>
      <c r="L564" s="9">
        <v>-1</v>
      </c>
      <c r="M564">
        <v>0</v>
      </c>
      <c r="N564">
        <f t="shared" si="16"/>
        <v>2</v>
      </c>
      <c r="O564">
        <f t="shared" si="17"/>
        <v>0</v>
      </c>
    </row>
    <row r="565" spans="1:15" x14ac:dyDescent="0.2">
      <c r="A565" s="1">
        <v>45414</v>
      </c>
      <c r="B565">
        <v>4</v>
      </c>
      <c r="C565" t="s">
        <v>13</v>
      </c>
      <c r="D565" s="2">
        <v>0.41249999999999998</v>
      </c>
      <c r="E565">
        <v>17397.72</v>
      </c>
      <c r="F565" s="2">
        <v>0.41388888888888886</v>
      </c>
      <c r="G565">
        <v>17409.89</v>
      </c>
      <c r="H565">
        <v>17409.89</v>
      </c>
      <c r="I565">
        <v>17367.27</v>
      </c>
      <c r="J565" t="s">
        <v>15</v>
      </c>
      <c r="K565">
        <v>-12.18</v>
      </c>
      <c r="L565" s="9">
        <v>-1</v>
      </c>
      <c r="M565">
        <v>0</v>
      </c>
      <c r="N565">
        <f t="shared" si="16"/>
        <v>3</v>
      </c>
      <c r="O565">
        <f t="shared" si="17"/>
        <v>0</v>
      </c>
    </row>
    <row r="566" spans="1:15" x14ac:dyDescent="0.2">
      <c r="A566" s="1">
        <v>45414</v>
      </c>
      <c r="B566">
        <v>4</v>
      </c>
      <c r="C566" t="s">
        <v>16</v>
      </c>
      <c r="D566" s="2">
        <v>0.44097222222222221</v>
      </c>
      <c r="E566">
        <v>17403.68</v>
      </c>
      <c r="F566" s="2">
        <v>0.44166666666666665</v>
      </c>
      <c r="G566">
        <v>17391.5</v>
      </c>
      <c r="H566">
        <v>17391.5</v>
      </c>
      <c r="I566">
        <v>17434.14</v>
      </c>
      <c r="J566" t="s">
        <v>15</v>
      </c>
      <c r="K566">
        <v>-12.18</v>
      </c>
      <c r="L566" s="9">
        <v>-1</v>
      </c>
      <c r="M566">
        <v>0</v>
      </c>
      <c r="N566">
        <f t="shared" si="16"/>
        <v>4</v>
      </c>
      <c r="O566">
        <f t="shared" si="17"/>
        <v>0</v>
      </c>
    </row>
    <row r="567" spans="1:15" x14ac:dyDescent="0.2">
      <c r="A567" s="1">
        <v>45415</v>
      </c>
      <c r="B567">
        <v>5</v>
      </c>
      <c r="C567" t="s">
        <v>16</v>
      </c>
      <c r="D567" s="2">
        <v>0.40902777777777777</v>
      </c>
      <c r="E567">
        <v>17878.89</v>
      </c>
      <c r="F567" s="2">
        <v>0.41666666666666669</v>
      </c>
      <c r="G567">
        <v>17866.37</v>
      </c>
      <c r="H567">
        <v>17866.37</v>
      </c>
      <c r="I567">
        <v>17910.169999999998</v>
      </c>
      <c r="J567" t="s">
        <v>17</v>
      </c>
      <c r="K567">
        <v>-12.52</v>
      </c>
      <c r="L567" s="9">
        <v>-1</v>
      </c>
      <c r="M567">
        <v>0</v>
      </c>
      <c r="N567">
        <f t="shared" si="16"/>
        <v>5</v>
      </c>
      <c r="O567">
        <f t="shared" si="17"/>
        <v>0</v>
      </c>
    </row>
    <row r="568" spans="1:15" x14ac:dyDescent="0.2">
      <c r="A568" s="1">
        <v>45415</v>
      </c>
      <c r="B568">
        <v>5</v>
      </c>
      <c r="C568" t="s">
        <v>13</v>
      </c>
      <c r="D568" s="2">
        <v>0.42708333333333331</v>
      </c>
      <c r="E568">
        <v>17821.169999999998</v>
      </c>
      <c r="F568" s="2">
        <v>0.4284722222222222</v>
      </c>
      <c r="G568">
        <v>17833.650000000001</v>
      </c>
      <c r="H568">
        <v>17833.650000000001</v>
      </c>
      <c r="I568">
        <v>17789.990000000002</v>
      </c>
      <c r="J568" t="s">
        <v>15</v>
      </c>
      <c r="K568">
        <v>-12.47</v>
      </c>
      <c r="L568" s="9">
        <v>-1</v>
      </c>
      <c r="M568">
        <v>0</v>
      </c>
      <c r="N568">
        <f t="shared" si="16"/>
        <v>6</v>
      </c>
      <c r="O568">
        <f t="shared" si="17"/>
        <v>0</v>
      </c>
    </row>
    <row r="569" spans="1:15" x14ac:dyDescent="0.2">
      <c r="A569" s="1">
        <v>45415</v>
      </c>
      <c r="B569">
        <v>5</v>
      </c>
      <c r="C569" t="s">
        <v>16</v>
      </c>
      <c r="D569" s="2">
        <v>0.45</v>
      </c>
      <c r="E569">
        <v>17867.77</v>
      </c>
      <c r="F569" s="2">
        <v>0.4513888888888889</v>
      </c>
      <c r="G569">
        <v>17855.259999999998</v>
      </c>
      <c r="H569">
        <v>17855.259999999998</v>
      </c>
      <c r="I569">
        <v>17899.03</v>
      </c>
      <c r="J569" t="s">
        <v>15</v>
      </c>
      <c r="K569">
        <v>-12.51</v>
      </c>
      <c r="L569" s="9">
        <v>-1</v>
      </c>
      <c r="M569">
        <v>0</v>
      </c>
      <c r="N569">
        <f t="shared" si="16"/>
        <v>7</v>
      </c>
      <c r="O569">
        <f t="shared" si="17"/>
        <v>0</v>
      </c>
    </row>
    <row r="570" spans="1:15" x14ac:dyDescent="0.2">
      <c r="A570" s="1">
        <v>45418</v>
      </c>
      <c r="B570">
        <v>1</v>
      </c>
      <c r="C570" t="s">
        <v>16</v>
      </c>
      <c r="D570" s="2">
        <v>0.41180555555555554</v>
      </c>
      <c r="E570">
        <v>17989.150000000001</v>
      </c>
      <c r="F570" s="2">
        <v>0.42916666666666664</v>
      </c>
      <c r="G570">
        <v>17976.55</v>
      </c>
      <c r="H570">
        <v>17976.55</v>
      </c>
      <c r="I570">
        <v>18020.63</v>
      </c>
      <c r="J570" t="s">
        <v>15</v>
      </c>
      <c r="K570">
        <v>-12.59</v>
      </c>
      <c r="L570" s="9">
        <v>-1</v>
      </c>
      <c r="M570">
        <v>0</v>
      </c>
      <c r="N570">
        <f t="shared" si="16"/>
        <v>8</v>
      </c>
      <c r="O570">
        <f t="shared" si="17"/>
        <v>0</v>
      </c>
    </row>
    <row r="571" spans="1:15" x14ac:dyDescent="0.2">
      <c r="A571" s="1">
        <v>45419</v>
      </c>
      <c r="B571">
        <v>2</v>
      </c>
      <c r="C571" t="s">
        <v>16</v>
      </c>
      <c r="D571" s="2">
        <v>0.39861111111111114</v>
      </c>
      <c r="E571">
        <v>18114.689999999999</v>
      </c>
      <c r="F571" s="2">
        <v>0.40277777777777779</v>
      </c>
      <c r="G571">
        <v>18102.009999999998</v>
      </c>
      <c r="H571">
        <v>18102.009999999998</v>
      </c>
      <c r="I571">
        <v>18146.39</v>
      </c>
      <c r="J571" t="s">
        <v>15</v>
      </c>
      <c r="K571">
        <v>-12.68</v>
      </c>
      <c r="L571" s="9">
        <v>-1</v>
      </c>
      <c r="M571">
        <v>0</v>
      </c>
      <c r="N571">
        <f t="shared" si="16"/>
        <v>9</v>
      </c>
      <c r="O571">
        <f t="shared" si="17"/>
        <v>0</v>
      </c>
    </row>
    <row r="572" spans="1:15" x14ac:dyDescent="0.2">
      <c r="A572" s="1">
        <v>45419</v>
      </c>
      <c r="B572">
        <v>2</v>
      </c>
      <c r="C572" t="s">
        <v>13</v>
      </c>
      <c r="D572" s="2">
        <v>0.41736111111111113</v>
      </c>
      <c r="E572">
        <v>18087.830000000002</v>
      </c>
      <c r="F572" s="2">
        <v>0.42569444444444443</v>
      </c>
      <c r="G572">
        <v>18100.5</v>
      </c>
      <c r="H572">
        <v>18100.5</v>
      </c>
      <c r="I572">
        <v>18056.18</v>
      </c>
      <c r="J572" t="s">
        <v>15</v>
      </c>
      <c r="K572">
        <v>-12.66</v>
      </c>
      <c r="L572" s="9">
        <v>-1</v>
      </c>
      <c r="M572">
        <v>0</v>
      </c>
      <c r="N572">
        <f t="shared" si="16"/>
        <v>10</v>
      </c>
      <c r="O572">
        <f t="shared" si="17"/>
        <v>0</v>
      </c>
    </row>
    <row r="573" spans="1:15" x14ac:dyDescent="0.2">
      <c r="A573" s="1">
        <v>45420</v>
      </c>
      <c r="B573">
        <v>3</v>
      </c>
      <c r="C573" t="s">
        <v>16</v>
      </c>
      <c r="D573" s="2">
        <v>0.40347222222222223</v>
      </c>
      <c r="E573">
        <v>18009.77</v>
      </c>
      <c r="F573" s="2">
        <v>0.40763888888888888</v>
      </c>
      <c r="G573">
        <v>18041.28</v>
      </c>
      <c r="H573">
        <v>17997.16</v>
      </c>
      <c r="I573">
        <v>18041.28</v>
      </c>
      <c r="J573" t="s">
        <v>14</v>
      </c>
      <c r="K573">
        <v>31.52</v>
      </c>
      <c r="L573" s="9">
        <v>2.5</v>
      </c>
      <c r="M573">
        <v>1</v>
      </c>
      <c r="N573">
        <f t="shared" si="16"/>
        <v>0</v>
      </c>
      <c r="O573">
        <f t="shared" si="17"/>
        <v>1</v>
      </c>
    </row>
    <row r="574" spans="1:15" x14ac:dyDescent="0.2">
      <c r="A574" s="1">
        <v>45420</v>
      </c>
      <c r="B574">
        <v>3</v>
      </c>
      <c r="C574" t="s">
        <v>16</v>
      </c>
      <c r="D574" s="2">
        <v>0.43541666666666667</v>
      </c>
      <c r="E574">
        <v>18090.62</v>
      </c>
      <c r="F574" s="2">
        <v>0.45</v>
      </c>
      <c r="G574">
        <v>18122.27</v>
      </c>
      <c r="H574">
        <v>18077.95</v>
      </c>
      <c r="I574">
        <v>18122.27</v>
      </c>
      <c r="J574" t="s">
        <v>14</v>
      </c>
      <c r="K574">
        <v>31.66</v>
      </c>
      <c r="L574" s="9">
        <v>2.5</v>
      </c>
      <c r="M574">
        <v>1</v>
      </c>
      <c r="N574">
        <f t="shared" si="16"/>
        <v>0</v>
      </c>
      <c r="O574">
        <f t="shared" si="17"/>
        <v>2</v>
      </c>
    </row>
    <row r="575" spans="1:15" x14ac:dyDescent="0.2">
      <c r="A575" s="1">
        <v>45421</v>
      </c>
      <c r="B575">
        <v>4</v>
      </c>
      <c r="C575" t="s">
        <v>13</v>
      </c>
      <c r="D575" s="2">
        <v>0.40138888888888891</v>
      </c>
      <c r="E575">
        <v>18073.68</v>
      </c>
      <c r="F575" s="2">
        <v>0.40347222222222223</v>
      </c>
      <c r="G575">
        <v>18042.05</v>
      </c>
      <c r="H575">
        <v>18086.330000000002</v>
      </c>
      <c r="I575">
        <v>18042.05</v>
      </c>
      <c r="J575" t="s">
        <v>14</v>
      </c>
      <c r="K575">
        <v>31.63</v>
      </c>
      <c r="L575" s="9">
        <v>2.5</v>
      </c>
      <c r="M575">
        <v>1</v>
      </c>
      <c r="N575">
        <f t="shared" si="16"/>
        <v>0</v>
      </c>
      <c r="O575">
        <f t="shared" si="17"/>
        <v>3</v>
      </c>
    </row>
    <row r="576" spans="1:15" x14ac:dyDescent="0.2">
      <c r="A576" s="1">
        <v>45421</v>
      </c>
      <c r="B576">
        <v>4</v>
      </c>
      <c r="C576" t="s">
        <v>16</v>
      </c>
      <c r="D576" s="2">
        <v>0.44097222222222221</v>
      </c>
      <c r="E576">
        <v>18076.189999999999</v>
      </c>
      <c r="F576" s="2">
        <v>0.44305555555555554</v>
      </c>
      <c r="G576">
        <v>18107.830000000002</v>
      </c>
      <c r="H576">
        <v>18063.54</v>
      </c>
      <c r="I576">
        <v>18107.830000000002</v>
      </c>
      <c r="J576" t="s">
        <v>14</v>
      </c>
      <c r="K576">
        <v>31.63</v>
      </c>
      <c r="L576" s="9">
        <v>2.5</v>
      </c>
      <c r="M576">
        <v>1</v>
      </c>
      <c r="N576">
        <f t="shared" si="16"/>
        <v>0</v>
      </c>
      <c r="O576">
        <f t="shared" si="17"/>
        <v>4</v>
      </c>
    </row>
    <row r="577" spans="1:15" x14ac:dyDescent="0.2">
      <c r="A577" s="1">
        <v>45422</v>
      </c>
      <c r="B577">
        <v>5</v>
      </c>
      <c r="C577" t="s">
        <v>16</v>
      </c>
      <c r="D577" s="2">
        <v>0.4</v>
      </c>
      <c r="E577">
        <v>18200.86</v>
      </c>
      <c r="F577" s="2">
        <v>0.40416666666666667</v>
      </c>
      <c r="G577">
        <v>18232.71</v>
      </c>
      <c r="H577">
        <v>18188.12</v>
      </c>
      <c r="I577">
        <v>18232.71</v>
      </c>
      <c r="J577" t="s">
        <v>14</v>
      </c>
      <c r="K577">
        <v>31.85</v>
      </c>
      <c r="L577" s="9">
        <v>2.5</v>
      </c>
      <c r="M577">
        <v>1</v>
      </c>
      <c r="N577">
        <f t="shared" si="16"/>
        <v>0</v>
      </c>
      <c r="O577">
        <f t="shared" si="17"/>
        <v>5</v>
      </c>
    </row>
    <row r="578" spans="1:15" x14ac:dyDescent="0.2">
      <c r="A578" s="1">
        <v>45422</v>
      </c>
      <c r="B578">
        <v>5</v>
      </c>
      <c r="C578" t="s">
        <v>13</v>
      </c>
      <c r="D578" s="2">
        <v>0.42638888888888887</v>
      </c>
      <c r="E578">
        <v>18178.59</v>
      </c>
      <c r="F578" s="2">
        <v>0.43055555555555558</v>
      </c>
      <c r="G578">
        <v>18146.77</v>
      </c>
      <c r="H578">
        <v>18191.310000000001</v>
      </c>
      <c r="I578">
        <v>18146.77</v>
      </c>
      <c r="J578" t="s">
        <v>14</v>
      </c>
      <c r="K578">
        <v>31.81</v>
      </c>
      <c r="L578" s="9">
        <v>2.5</v>
      </c>
      <c r="M578">
        <v>1</v>
      </c>
      <c r="N578">
        <f t="shared" ref="N578:N641" si="18">IF(M578=0, IF(M577=0, N577+1, 1), 0)</f>
        <v>0</v>
      </c>
      <c r="O578">
        <f t="shared" ref="O578:O641" si="19">IF(M578=1, IF(M577=1, O577+1, 1), 0)</f>
        <v>6</v>
      </c>
    </row>
    <row r="579" spans="1:15" x14ac:dyDescent="0.2">
      <c r="A579" s="1">
        <v>45425</v>
      </c>
      <c r="B579">
        <v>1</v>
      </c>
      <c r="C579" t="s">
        <v>16</v>
      </c>
      <c r="D579" s="2">
        <v>0.39583333333333331</v>
      </c>
      <c r="E579">
        <v>18232.88</v>
      </c>
      <c r="F579" s="2">
        <v>0.39791666666666664</v>
      </c>
      <c r="G579">
        <v>18220.12</v>
      </c>
      <c r="H579">
        <v>18220.12</v>
      </c>
      <c r="I579">
        <v>18264.79</v>
      </c>
      <c r="J579" t="s">
        <v>15</v>
      </c>
      <c r="K579">
        <v>-12.76</v>
      </c>
      <c r="L579" s="9">
        <v>-1</v>
      </c>
      <c r="M579">
        <v>0</v>
      </c>
      <c r="N579">
        <f t="shared" si="18"/>
        <v>1</v>
      </c>
      <c r="O579">
        <f t="shared" si="19"/>
        <v>0</v>
      </c>
    </row>
    <row r="580" spans="1:15" x14ac:dyDescent="0.2">
      <c r="A580" s="1">
        <v>45425</v>
      </c>
      <c r="B580">
        <v>1</v>
      </c>
      <c r="C580" t="s">
        <v>13</v>
      </c>
      <c r="D580" s="2">
        <v>0.40902777777777777</v>
      </c>
      <c r="E580">
        <v>18168.12</v>
      </c>
      <c r="F580" s="2">
        <v>0.41041666666666665</v>
      </c>
      <c r="G580">
        <v>18180.84</v>
      </c>
      <c r="H580">
        <v>18180.84</v>
      </c>
      <c r="I580">
        <v>18136.330000000002</v>
      </c>
      <c r="J580" t="s">
        <v>15</v>
      </c>
      <c r="K580">
        <v>-12.72</v>
      </c>
      <c r="L580" s="9">
        <v>-1</v>
      </c>
      <c r="M580">
        <v>0</v>
      </c>
      <c r="N580">
        <f t="shared" si="18"/>
        <v>2</v>
      </c>
      <c r="O580">
        <f t="shared" si="19"/>
        <v>0</v>
      </c>
    </row>
    <row r="581" spans="1:15" x14ac:dyDescent="0.2">
      <c r="A581" s="1">
        <v>45425</v>
      </c>
      <c r="B581">
        <v>1</v>
      </c>
      <c r="C581" t="s">
        <v>16</v>
      </c>
      <c r="D581" s="2">
        <v>0.42986111111111114</v>
      </c>
      <c r="E581">
        <v>18201.02</v>
      </c>
      <c r="F581" s="2">
        <v>0.43819444444444444</v>
      </c>
      <c r="G581">
        <v>18188.28</v>
      </c>
      <c r="H581">
        <v>18188.28</v>
      </c>
      <c r="I581">
        <v>18232.87</v>
      </c>
      <c r="J581" t="s">
        <v>15</v>
      </c>
      <c r="K581">
        <v>-12.74</v>
      </c>
      <c r="L581" s="9">
        <v>-1</v>
      </c>
      <c r="M581">
        <v>0</v>
      </c>
      <c r="N581">
        <f t="shared" si="18"/>
        <v>3</v>
      </c>
      <c r="O581">
        <f t="shared" si="19"/>
        <v>0</v>
      </c>
    </row>
    <row r="582" spans="1:15" x14ac:dyDescent="0.2">
      <c r="A582" s="1">
        <v>45426</v>
      </c>
      <c r="B582">
        <v>2</v>
      </c>
      <c r="C582" t="s">
        <v>16</v>
      </c>
      <c r="D582" s="2">
        <v>0.40277777777777779</v>
      </c>
      <c r="E582">
        <v>18199.650000000001</v>
      </c>
      <c r="F582" s="2">
        <v>0.40694444444444444</v>
      </c>
      <c r="G582">
        <v>18231.5</v>
      </c>
      <c r="H582">
        <v>18186.91</v>
      </c>
      <c r="I582">
        <v>18231.5</v>
      </c>
      <c r="J582" t="s">
        <v>14</v>
      </c>
      <c r="K582">
        <v>31.85</v>
      </c>
      <c r="L582" s="9">
        <v>2.5</v>
      </c>
      <c r="M582">
        <v>1</v>
      </c>
      <c r="N582">
        <f t="shared" si="18"/>
        <v>0</v>
      </c>
      <c r="O582">
        <f t="shared" si="19"/>
        <v>1</v>
      </c>
    </row>
    <row r="583" spans="1:15" x14ac:dyDescent="0.2">
      <c r="A583" s="1">
        <v>45426</v>
      </c>
      <c r="B583">
        <v>2</v>
      </c>
      <c r="C583" t="s">
        <v>16</v>
      </c>
      <c r="D583" s="2">
        <v>0.43888888888888888</v>
      </c>
      <c r="E583">
        <v>18266.099999999999</v>
      </c>
      <c r="F583" s="2">
        <v>0.44097222222222221</v>
      </c>
      <c r="G583">
        <v>18253.310000000001</v>
      </c>
      <c r="H583">
        <v>18253.310000000001</v>
      </c>
      <c r="I583">
        <v>18298.060000000001</v>
      </c>
      <c r="J583" t="s">
        <v>15</v>
      </c>
      <c r="K583">
        <v>-12.79</v>
      </c>
      <c r="L583" s="9">
        <v>-1</v>
      </c>
      <c r="M583">
        <v>0</v>
      </c>
      <c r="N583">
        <f t="shared" si="18"/>
        <v>1</v>
      </c>
      <c r="O583">
        <f t="shared" si="19"/>
        <v>0</v>
      </c>
    </row>
    <row r="584" spans="1:15" x14ac:dyDescent="0.2">
      <c r="A584" s="1">
        <v>45427</v>
      </c>
      <c r="B584">
        <v>3</v>
      </c>
      <c r="C584" t="s">
        <v>13</v>
      </c>
      <c r="D584" s="2">
        <v>0.41180555555555554</v>
      </c>
      <c r="E584">
        <v>18372.73</v>
      </c>
      <c r="F584" s="2">
        <v>0.41597222222222224</v>
      </c>
      <c r="G584">
        <v>18385.59</v>
      </c>
      <c r="H584">
        <v>18385.59</v>
      </c>
      <c r="I584">
        <v>18340.580000000002</v>
      </c>
      <c r="J584" t="s">
        <v>15</v>
      </c>
      <c r="K584">
        <v>-12.86</v>
      </c>
      <c r="L584" s="9">
        <v>-1</v>
      </c>
      <c r="M584">
        <v>0</v>
      </c>
      <c r="N584">
        <f t="shared" si="18"/>
        <v>2</v>
      </c>
      <c r="O584">
        <f t="shared" si="19"/>
        <v>0</v>
      </c>
    </row>
    <row r="585" spans="1:15" x14ac:dyDescent="0.2">
      <c r="A585" s="1">
        <v>45427</v>
      </c>
      <c r="B585">
        <v>3</v>
      </c>
      <c r="C585" t="s">
        <v>16</v>
      </c>
      <c r="D585" s="2">
        <v>0.43194444444444446</v>
      </c>
      <c r="E585">
        <v>18432.97</v>
      </c>
      <c r="F585" s="2">
        <v>0.44305555555555554</v>
      </c>
      <c r="G585">
        <v>18465.23</v>
      </c>
      <c r="H585">
        <v>18420.07</v>
      </c>
      <c r="I585">
        <v>18465.23</v>
      </c>
      <c r="J585" t="s">
        <v>14</v>
      </c>
      <c r="K585">
        <v>32.26</v>
      </c>
      <c r="L585" s="9">
        <v>2.5</v>
      </c>
      <c r="M585">
        <v>1</v>
      </c>
      <c r="N585">
        <f t="shared" si="18"/>
        <v>0</v>
      </c>
      <c r="O585">
        <f t="shared" si="19"/>
        <v>1</v>
      </c>
    </row>
    <row r="586" spans="1:15" x14ac:dyDescent="0.2">
      <c r="A586" s="1">
        <v>45428</v>
      </c>
      <c r="B586">
        <v>4</v>
      </c>
      <c r="C586" t="s">
        <v>13</v>
      </c>
      <c r="D586" s="2">
        <v>0.39583333333333331</v>
      </c>
      <c r="E586">
        <v>18583.849999999999</v>
      </c>
      <c r="F586" s="2">
        <v>0.40069444444444446</v>
      </c>
      <c r="G586">
        <v>18596.86</v>
      </c>
      <c r="H586">
        <v>18596.86</v>
      </c>
      <c r="I586">
        <v>18551.330000000002</v>
      </c>
      <c r="J586" t="s">
        <v>15</v>
      </c>
      <c r="K586">
        <v>-13.01</v>
      </c>
      <c r="L586" s="9">
        <v>-1</v>
      </c>
      <c r="M586">
        <v>0</v>
      </c>
      <c r="N586">
        <f t="shared" si="18"/>
        <v>1</v>
      </c>
      <c r="O586">
        <f t="shared" si="19"/>
        <v>0</v>
      </c>
    </row>
    <row r="587" spans="1:15" x14ac:dyDescent="0.2">
      <c r="A587" s="1">
        <v>45428</v>
      </c>
      <c r="B587">
        <v>4</v>
      </c>
      <c r="C587" t="s">
        <v>16</v>
      </c>
      <c r="D587" s="2">
        <v>0.41249999999999998</v>
      </c>
      <c r="E587">
        <v>18608.71</v>
      </c>
      <c r="F587" s="2">
        <v>0.42152777777777778</v>
      </c>
      <c r="G587">
        <v>18595.689999999999</v>
      </c>
      <c r="H587">
        <v>18595.689999999999</v>
      </c>
      <c r="I587">
        <v>18641.28</v>
      </c>
      <c r="J587" t="s">
        <v>15</v>
      </c>
      <c r="K587">
        <v>-13.03</v>
      </c>
      <c r="L587" s="9">
        <v>-1</v>
      </c>
      <c r="M587">
        <v>0</v>
      </c>
      <c r="N587">
        <f t="shared" si="18"/>
        <v>2</v>
      </c>
      <c r="O587">
        <f t="shared" si="19"/>
        <v>0</v>
      </c>
    </row>
    <row r="588" spans="1:15" x14ac:dyDescent="0.2">
      <c r="A588" s="1">
        <v>45428</v>
      </c>
      <c r="B588">
        <v>4</v>
      </c>
      <c r="C588" t="s">
        <v>16</v>
      </c>
      <c r="D588" s="2">
        <v>0.43472222222222223</v>
      </c>
      <c r="E588">
        <v>18626.71</v>
      </c>
      <c r="F588" s="2">
        <v>0.45763888888888887</v>
      </c>
      <c r="G588">
        <v>18659.310000000001</v>
      </c>
      <c r="H588">
        <v>18613.669999999998</v>
      </c>
      <c r="I588">
        <v>18659.310000000001</v>
      </c>
      <c r="J588" t="s">
        <v>14</v>
      </c>
      <c r="K588">
        <v>32.6</v>
      </c>
      <c r="L588" s="9">
        <v>2.5</v>
      </c>
      <c r="M588">
        <v>1</v>
      </c>
      <c r="N588">
        <f t="shared" si="18"/>
        <v>0</v>
      </c>
      <c r="O588">
        <f t="shared" si="19"/>
        <v>1</v>
      </c>
    </row>
    <row r="589" spans="1:15" x14ac:dyDescent="0.2">
      <c r="A589" s="1">
        <v>45429</v>
      </c>
      <c r="B589">
        <v>5</v>
      </c>
      <c r="C589" t="s">
        <v>13</v>
      </c>
      <c r="D589" s="2">
        <v>0.39652777777777776</v>
      </c>
      <c r="E589">
        <v>18567.75</v>
      </c>
      <c r="F589" s="2">
        <v>0.41458333333333336</v>
      </c>
      <c r="G589">
        <v>18535.259999999998</v>
      </c>
      <c r="H589">
        <v>18580.75</v>
      </c>
      <c r="I589">
        <v>18535.259999999998</v>
      </c>
      <c r="J589" t="s">
        <v>14</v>
      </c>
      <c r="K589">
        <v>32.49</v>
      </c>
      <c r="L589" s="9">
        <v>2.5</v>
      </c>
      <c r="M589">
        <v>1</v>
      </c>
      <c r="N589">
        <f t="shared" si="18"/>
        <v>0</v>
      </c>
      <c r="O589">
        <f t="shared" si="19"/>
        <v>2</v>
      </c>
    </row>
    <row r="590" spans="1:15" x14ac:dyDescent="0.2">
      <c r="A590" s="1">
        <v>45429</v>
      </c>
      <c r="B590">
        <v>5</v>
      </c>
      <c r="C590" t="s">
        <v>16</v>
      </c>
      <c r="D590" s="2">
        <v>0.43819444444444444</v>
      </c>
      <c r="E590">
        <v>18572.05</v>
      </c>
      <c r="F590" s="2">
        <v>0.4597222222222222</v>
      </c>
      <c r="G590">
        <v>18559.05</v>
      </c>
      <c r="H590">
        <v>18559.05</v>
      </c>
      <c r="I590">
        <v>18604.55</v>
      </c>
      <c r="J590" t="s">
        <v>15</v>
      </c>
      <c r="K590">
        <v>-13</v>
      </c>
      <c r="L590" s="9">
        <v>-1</v>
      </c>
      <c r="M590">
        <v>0</v>
      </c>
      <c r="N590">
        <f t="shared" si="18"/>
        <v>1</v>
      </c>
      <c r="O590">
        <f t="shared" si="19"/>
        <v>0</v>
      </c>
    </row>
    <row r="591" spans="1:15" x14ac:dyDescent="0.2">
      <c r="A591" s="1">
        <v>45432</v>
      </c>
      <c r="B591">
        <v>1</v>
      </c>
      <c r="C591" t="s">
        <v>16</v>
      </c>
      <c r="D591" s="2">
        <v>0.40277777777777779</v>
      </c>
      <c r="E591">
        <v>18609.98</v>
      </c>
      <c r="F591" s="2">
        <v>0.41041666666666665</v>
      </c>
      <c r="G591">
        <v>18642.55</v>
      </c>
      <c r="H591">
        <v>18596.95</v>
      </c>
      <c r="I591">
        <v>18642.55</v>
      </c>
      <c r="J591" t="s">
        <v>14</v>
      </c>
      <c r="K591">
        <v>32.57</v>
      </c>
      <c r="L591" s="9">
        <v>2.5</v>
      </c>
      <c r="M591">
        <v>1</v>
      </c>
      <c r="N591">
        <f t="shared" si="18"/>
        <v>0</v>
      </c>
      <c r="O591">
        <f t="shared" si="19"/>
        <v>1</v>
      </c>
    </row>
    <row r="592" spans="1:15" x14ac:dyDescent="0.2">
      <c r="A592" s="1">
        <v>45433</v>
      </c>
      <c r="B592">
        <v>2</v>
      </c>
      <c r="C592" t="s">
        <v>13</v>
      </c>
      <c r="D592" s="2">
        <v>0.39583333333333331</v>
      </c>
      <c r="E592">
        <v>18599.77</v>
      </c>
      <c r="F592" s="2">
        <v>0.3972222222222222</v>
      </c>
      <c r="G592">
        <v>18612.79</v>
      </c>
      <c r="H592">
        <v>18612.79</v>
      </c>
      <c r="I592">
        <v>18567.22</v>
      </c>
      <c r="J592" t="s">
        <v>15</v>
      </c>
      <c r="K592">
        <v>-13.02</v>
      </c>
      <c r="L592" s="9">
        <v>-1</v>
      </c>
      <c r="M592">
        <v>0</v>
      </c>
      <c r="N592">
        <f t="shared" si="18"/>
        <v>1</v>
      </c>
      <c r="O592">
        <f t="shared" si="19"/>
        <v>0</v>
      </c>
    </row>
    <row r="593" spans="1:15" x14ac:dyDescent="0.2">
      <c r="A593" s="1">
        <v>45433</v>
      </c>
      <c r="B593">
        <v>2</v>
      </c>
      <c r="C593" t="s">
        <v>16</v>
      </c>
      <c r="D593" s="2">
        <v>0.4201388888888889</v>
      </c>
      <c r="E593">
        <v>18630.919999999998</v>
      </c>
      <c r="F593" s="2">
        <v>0.42152777777777778</v>
      </c>
      <c r="G593">
        <v>18617.87</v>
      </c>
      <c r="H593">
        <v>18617.87</v>
      </c>
      <c r="I593">
        <v>18663.52</v>
      </c>
      <c r="J593" t="s">
        <v>15</v>
      </c>
      <c r="K593">
        <v>-13.04</v>
      </c>
      <c r="L593" s="9">
        <v>-1</v>
      </c>
      <c r="M593">
        <v>0</v>
      </c>
      <c r="N593">
        <f t="shared" si="18"/>
        <v>2</v>
      </c>
      <c r="O593">
        <f t="shared" si="19"/>
        <v>0</v>
      </c>
    </row>
    <row r="594" spans="1:15" x14ac:dyDescent="0.2">
      <c r="A594" s="1">
        <v>45433</v>
      </c>
      <c r="B594">
        <v>2</v>
      </c>
      <c r="C594" t="s">
        <v>16</v>
      </c>
      <c r="D594" s="2">
        <v>0.43611111111111112</v>
      </c>
      <c r="E594">
        <v>18639.62</v>
      </c>
      <c r="F594" s="2">
        <v>0.44166666666666665</v>
      </c>
      <c r="G594">
        <v>18672.240000000002</v>
      </c>
      <c r="H594">
        <v>18626.57</v>
      </c>
      <c r="I594">
        <v>18672.240000000002</v>
      </c>
      <c r="J594" t="s">
        <v>14</v>
      </c>
      <c r="K594">
        <v>32.619999999999997</v>
      </c>
      <c r="L594" s="9">
        <v>2.5</v>
      </c>
      <c r="M594">
        <v>1</v>
      </c>
      <c r="N594">
        <f t="shared" si="18"/>
        <v>0</v>
      </c>
      <c r="O594">
        <f t="shared" si="19"/>
        <v>1</v>
      </c>
    </row>
    <row r="595" spans="1:15" x14ac:dyDescent="0.2">
      <c r="A595" s="1">
        <v>45434</v>
      </c>
      <c r="B595">
        <v>3</v>
      </c>
      <c r="C595" t="s">
        <v>16</v>
      </c>
      <c r="D595" s="2">
        <v>0.39861111111111114</v>
      </c>
      <c r="E595">
        <v>18731.41</v>
      </c>
      <c r="F595" s="2">
        <v>0.40138888888888891</v>
      </c>
      <c r="G595">
        <v>18718.3</v>
      </c>
      <c r="H595">
        <v>18718.3</v>
      </c>
      <c r="I595">
        <v>18764.189999999999</v>
      </c>
      <c r="J595" t="s">
        <v>15</v>
      </c>
      <c r="K595">
        <v>-13.11</v>
      </c>
      <c r="L595" s="9">
        <v>-1</v>
      </c>
      <c r="M595">
        <v>0</v>
      </c>
      <c r="N595">
        <f t="shared" si="18"/>
        <v>1</v>
      </c>
      <c r="O595">
        <f t="shared" si="19"/>
        <v>0</v>
      </c>
    </row>
    <row r="596" spans="1:15" x14ac:dyDescent="0.2">
      <c r="A596" s="1">
        <v>45434</v>
      </c>
      <c r="B596">
        <v>3</v>
      </c>
      <c r="C596" t="s">
        <v>16</v>
      </c>
      <c r="D596" s="2">
        <v>0.41180555555555554</v>
      </c>
      <c r="E596">
        <v>18737.62</v>
      </c>
      <c r="F596" s="2">
        <v>0.42152777777777778</v>
      </c>
      <c r="G596">
        <v>18724.5</v>
      </c>
      <c r="H596">
        <v>18724.5</v>
      </c>
      <c r="I596">
        <v>18770.41</v>
      </c>
      <c r="J596" t="s">
        <v>15</v>
      </c>
      <c r="K596">
        <v>-13.12</v>
      </c>
      <c r="L596" s="9">
        <v>-1</v>
      </c>
      <c r="M596">
        <v>0</v>
      </c>
      <c r="N596">
        <f t="shared" si="18"/>
        <v>2</v>
      </c>
      <c r="O596">
        <f t="shared" si="19"/>
        <v>0</v>
      </c>
    </row>
    <row r="597" spans="1:15" x14ac:dyDescent="0.2">
      <c r="A597" s="1">
        <v>45436</v>
      </c>
      <c r="B597">
        <v>5</v>
      </c>
      <c r="C597" t="s">
        <v>16</v>
      </c>
      <c r="D597" s="2">
        <v>0.40069444444444446</v>
      </c>
      <c r="E597">
        <v>18691.21</v>
      </c>
      <c r="F597" s="2">
        <v>0.40138888888888891</v>
      </c>
      <c r="G597">
        <v>18678.13</v>
      </c>
      <c r="H597">
        <v>18678.13</v>
      </c>
      <c r="I597">
        <v>18723.919999999998</v>
      </c>
      <c r="J597" t="s">
        <v>15</v>
      </c>
      <c r="K597">
        <v>-13.08</v>
      </c>
      <c r="L597" s="9">
        <v>-1</v>
      </c>
      <c r="M597">
        <v>0</v>
      </c>
      <c r="N597">
        <f t="shared" si="18"/>
        <v>3</v>
      </c>
      <c r="O597">
        <f t="shared" si="19"/>
        <v>0</v>
      </c>
    </row>
    <row r="598" spans="1:15" x14ac:dyDescent="0.2">
      <c r="A598" s="1">
        <v>45436</v>
      </c>
      <c r="B598">
        <v>5</v>
      </c>
      <c r="C598" t="s">
        <v>16</v>
      </c>
      <c r="D598" s="2">
        <v>0.42569444444444443</v>
      </c>
      <c r="E598">
        <v>18721.91</v>
      </c>
      <c r="F598" s="2">
        <v>0.43472222222222223</v>
      </c>
      <c r="G598">
        <v>18754.669999999998</v>
      </c>
      <c r="H598">
        <v>18708.8</v>
      </c>
      <c r="I598">
        <v>18754.669999999998</v>
      </c>
      <c r="J598" t="s">
        <v>14</v>
      </c>
      <c r="K598">
        <v>32.76</v>
      </c>
      <c r="L598" s="9">
        <v>2.5</v>
      </c>
      <c r="M598">
        <v>1</v>
      </c>
      <c r="N598">
        <f t="shared" si="18"/>
        <v>0</v>
      </c>
      <c r="O598">
        <f t="shared" si="19"/>
        <v>1</v>
      </c>
    </row>
    <row r="599" spans="1:15" x14ac:dyDescent="0.2">
      <c r="A599" s="1">
        <v>45436</v>
      </c>
      <c r="B599">
        <v>5</v>
      </c>
      <c r="C599" t="s">
        <v>16</v>
      </c>
      <c r="D599" s="2">
        <v>0.45694444444444443</v>
      </c>
      <c r="E599">
        <v>18785.62</v>
      </c>
      <c r="F599" s="2">
        <v>0.46111111111111114</v>
      </c>
      <c r="G599">
        <v>18818.5</v>
      </c>
      <c r="H599">
        <v>18772.47</v>
      </c>
      <c r="I599">
        <v>18818.5</v>
      </c>
      <c r="J599" t="s">
        <v>14</v>
      </c>
      <c r="K599">
        <v>32.869999999999997</v>
      </c>
      <c r="L599" s="9">
        <v>2.5</v>
      </c>
      <c r="M599">
        <v>1</v>
      </c>
      <c r="N599">
        <f t="shared" si="18"/>
        <v>0</v>
      </c>
      <c r="O599">
        <f t="shared" si="19"/>
        <v>2</v>
      </c>
    </row>
    <row r="600" spans="1:15" x14ac:dyDescent="0.2">
      <c r="A600" s="1">
        <v>45439</v>
      </c>
      <c r="B600">
        <v>1</v>
      </c>
      <c r="C600" t="s">
        <v>16</v>
      </c>
      <c r="D600" s="2">
        <v>0.40277777777777779</v>
      </c>
      <c r="E600">
        <v>18834.5</v>
      </c>
      <c r="F600" s="2">
        <v>0.41111111111111109</v>
      </c>
      <c r="G600">
        <v>18821.32</v>
      </c>
      <c r="H600">
        <v>18821.32</v>
      </c>
      <c r="I600">
        <v>18867.46</v>
      </c>
      <c r="J600" t="s">
        <v>15</v>
      </c>
      <c r="K600">
        <v>-13.18</v>
      </c>
      <c r="L600" s="9">
        <v>-1</v>
      </c>
      <c r="M600">
        <v>0</v>
      </c>
      <c r="N600">
        <f t="shared" si="18"/>
        <v>1</v>
      </c>
      <c r="O600">
        <f t="shared" si="19"/>
        <v>0</v>
      </c>
    </row>
    <row r="601" spans="1:15" x14ac:dyDescent="0.2">
      <c r="A601" s="1">
        <v>45439</v>
      </c>
      <c r="B601">
        <v>1</v>
      </c>
      <c r="C601" t="s">
        <v>16</v>
      </c>
      <c r="D601" s="2">
        <v>0.45208333333333334</v>
      </c>
      <c r="E601">
        <v>18827.759999999998</v>
      </c>
      <c r="F601" s="2">
        <v>0.4826388888888889</v>
      </c>
      <c r="G601">
        <v>18860.7</v>
      </c>
      <c r="H601">
        <v>18814.580000000002</v>
      </c>
      <c r="I601">
        <v>18860.7</v>
      </c>
      <c r="J601" t="s">
        <v>14</v>
      </c>
      <c r="K601">
        <v>32.950000000000003</v>
      </c>
      <c r="L601" s="9">
        <v>2.5</v>
      </c>
      <c r="M601">
        <v>1</v>
      </c>
      <c r="N601">
        <f t="shared" si="18"/>
        <v>0</v>
      </c>
      <c r="O601">
        <f t="shared" si="19"/>
        <v>1</v>
      </c>
    </row>
    <row r="602" spans="1:15" x14ac:dyDescent="0.2">
      <c r="A602" s="1">
        <v>45441</v>
      </c>
      <c r="B602">
        <v>3</v>
      </c>
      <c r="C602" t="s">
        <v>16</v>
      </c>
      <c r="D602" s="2">
        <v>0.40972222222222221</v>
      </c>
      <c r="E602">
        <v>18742.28</v>
      </c>
      <c r="F602" s="2">
        <v>0.41180555555555554</v>
      </c>
      <c r="G602">
        <v>18775.080000000002</v>
      </c>
      <c r="H602">
        <v>18729.16</v>
      </c>
      <c r="I602">
        <v>18775.080000000002</v>
      </c>
      <c r="J602" t="s">
        <v>14</v>
      </c>
      <c r="K602">
        <v>32.799999999999997</v>
      </c>
      <c r="L602" s="9">
        <v>2.5</v>
      </c>
      <c r="M602">
        <v>1</v>
      </c>
      <c r="N602">
        <f t="shared" si="18"/>
        <v>0</v>
      </c>
      <c r="O602">
        <f t="shared" si="19"/>
        <v>2</v>
      </c>
    </row>
    <row r="603" spans="1:15" x14ac:dyDescent="0.2">
      <c r="A603" s="1">
        <v>45441</v>
      </c>
      <c r="B603">
        <v>3</v>
      </c>
      <c r="C603" t="s">
        <v>16</v>
      </c>
      <c r="D603" s="2">
        <v>0.43680555555555556</v>
      </c>
      <c r="E603">
        <v>18785.84</v>
      </c>
      <c r="F603" s="2">
        <v>0.46458333333333335</v>
      </c>
      <c r="G603">
        <v>18772.689999999999</v>
      </c>
      <c r="H603">
        <v>18772.689999999999</v>
      </c>
      <c r="I603">
        <v>18818.72</v>
      </c>
      <c r="J603" t="s">
        <v>15</v>
      </c>
      <c r="K603">
        <v>-13.15</v>
      </c>
      <c r="L603" s="9">
        <v>-1</v>
      </c>
      <c r="M603">
        <v>0</v>
      </c>
      <c r="N603">
        <f t="shared" si="18"/>
        <v>1</v>
      </c>
      <c r="O603">
        <f t="shared" si="19"/>
        <v>0</v>
      </c>
    </row>
    <row r="604" spans="1:15" x14ac:dyDescent="0.2">
      <c r="A604" s="1">
        <v>45442</v>
      </c>
      <c r="B604">
        <v>4</v>
      </c>
      <c r="C604" t="s">
        <v>13</v>
      </c>
      <c r="D604" s="2">
        <v>0.44166666666666665</v>
      </c>
      <c r="E604">
        <v>18629.240000000002</v>
      </c>
      <c r="F604" s="2">
        <v>0.44513888888888886</v>
      </c>
      <c r="G604">
        <v>18596.64</v>
      </c>
      <c r="H604">
        <v>18642.28</v>
      </c>
      <c r="I604">
        <v>18596.64</v>
      </c>
      <c r="J604" t="s">
        <v>14</v>
      </c>
      <c r="K604">
        <v>32.6</v>
      </c>
      <c r="L604" s="9">
        <v>2.5</v>
      </c>
      <c r="M604">
        <v>1</v>
      </c>
      <c r="N604">
        <f t="shared" si="18"/>
        <v>0</v>
      </c>
      <c r="O604">
        <f t="shared" si="19"/>
        <v>1</v>
      </c>
    </row>
    <row r="605" spans="1:15" x14ac:dyDescent="0.2">
      <c r="A605" s="1">
        <v>45443</v>
      </c>
      <c r="B605">
        <v>5</v>
      </c>
      <c r="C605" t="s">
        <v>13</v>
      </c>
      <c r="D605" s="2">
        <v>0.39583333333333331</v>
      </c>
      <c r="E605">
        <v>18550.310000000001</v>
      </c>
      <c r="F605" s="2">
        <v>0.39861111111111114</v>
      </c>
      <c r="G605">
        <v>18517.849999999999</v>
      </c>
      <c r="H605">
        <v>18563.29</v>
      </c>
      <c r="I605">
        <v>18517.849999999999</v>
      </c>
      <c r="J605" t="s">
        <v>14</v>
      </c>
      <c r="K605">
        <v>32.46</v>
      </c>
      <c r="L605" s="9">
        <v>2.5</v>
      </c>
      <c r="M605">
        <v>1</v>
      </c>
      <c r="N605">
        <f t="shared" si="18"/>
        <v>0</v>
      </c>
      <c r="O605">
        <f t="shared" si="19"/>
        <v>2</v>
      </c>
    </row>
    <row r="606" spans="1:15" x14ac:dyDescent="0.2">
      <c r="A606" s="1">
        <v>45443</v>
      </c>
      <c r="B606">
        <v>5</v>
      </c>
      <c r="C606" t="s">
        <v>13</v>
      </c>
      <c r="D606" s="2">
        <v>0.41458333333333336</v>
      </c>
      <c r="E606">
        <v>18492.560000000001</v>
      </c>
      <c r="F606" s="2">
        <v>0.41666666666666669</v>
      </c>
      <c r="G606">
        <v>18460.2</v>
      </c>
      <c r="H606">
        <v>18505.509999999998</v>
      </c>
      <c r="I606">
        <v>18460.2</v>
      </c>
      <c r="J606" t="s">
        <v>14</v>
      </c>
      <c r="K606">
        <v>32.36</v>
      </c>
      <c r="L606" s="9">
        <v>2.5</v>
      </c>
      <c r="M606">
        <v>1</v>
      </c>
      <c r="N606">
        <f t="shared" si="18"/>
        <v>0</v>
      </c>
      <c r="O606">
        <f t="shared" si="19"/>
        <v>3</v>
      </c>
    </row>
    <row r="607" spans="1:15" x14ac:dyDescent="0.2">
      <c r="A607" s="1">
        <v>45447</v>
      </c>
      <c r="B607">
        <v>2</v>
      </c>
      <c r="C607" t="s">
        <v>16</v>
      </c>
      <c r="D607" s="2">
        <v>0.39583333333333331</v>
      </c>
      <c r="E607">
        <v>18587.38</v>
      </c>
      <c r="F607" s="2">
        <v>0.39652777777777776</v>
      </c>
      <c r="G607">
        <v>18574.37</v>
      </c>
      <c r="H607">
        <v>18574.37</v>
      </c>
      <c r="I607">
        <v>18619.900000000001</v>
      </c>
      <c r="J607" t="s">
        <v>15</v>
      </c>
      <c r="K607">
        <v>-13.01</v>
      </c>
      <c r="L607" s="9">
        <v>-1</v>
      </c>
      <c r="M607">
        <v>0</v>
      </c>
      <c r="N607">
        <f t="shared" si="18"/>
        <v>1</v>
      </c>
      <c r="O607">
        <f t="shared" si="19"/>
        <v>0</v>
      </c>
    </row>
    <row r="608" spans="1:15" x14ac:dyDescent="0.2">
      <c r="A608" s="1">
        <v>45447</v>
      </c>
      <c r="B608">
        <v>2</v>
      </c>
      <c r="C608" t="s">
        <v>16</v>
      </c>
      <c r="D608" s="2">
        <v>0.4465277777777778</v>
      </c>
      <c r="E608">
        <v>18592.080000000002</v>
      </c>
      <c r="F608" s="2">
        <v>0.44930555555555557</v>
      </c>
      <c r="G608">
        <v>18579.07</v>
      </c>
      <c r="H608">
        <v>18579.07</v>
      </c>
      <c r="I608">
        <v>18624.62</v>
      </c>
      <c r="J608" t="s">
        <v>15</v>
      </c>
      <c r="K608">
        <v>-13.01</v>
      </c>
      <c r="L608" s="9">
        <v>-1</v>
      </c>
      <c r="M608">
        <v>0</v>
      </c>
      <c r="N608">
        <f t="shared" si="18"/>
        <v>2</v>
      </c>
      <c r="O608">
        <f t="shared" si="19"/>
        <v>0</v>
      </c>
    </row>
    <row r="609" spans="1:15" x14ac:dyDescent="0.2">
      <c r="A609" s="1">
        <v>45448</v>
      </c>
      <c r="B609">
        <v>3</v>
      </c>
      <c r="C609" t="s">
        <v>16</v>
      </c>
      <c r="D609" s="2">
        <v>0.39583333333333331</v>
      </c>
      <c r="E609">
        <v>18792.810000000001</v>
      </c>
      <c r="F609" s="2">
        <v>0.39652777777777776</v>
      </c>
      <c r="G609">
        <v>18779.66</v>
      </c>
      <c r="H609">
        <v>18779.66</v>
      </c>
      <c r="I609">
        <v>18825.7</v>
      </c>
      <c r="J609" t="s">
        <v>15</v>
      </c>
      <c r="K609">
        <v>-13.15</v>
      </c>
      <c r="L609" s="9">
        <v>-1</v>
      </c>
      <c r="M609">
        <v>0</v>
      </c>
      <c r="N609">
        <f t="shared" si="18"/>
        <v>3</v>
      </c>
      <c r="O609">
        <f t="shared" si="19"/>
        <v>0</v>
      </c>
    </row>
    <row r="610" spans="1:15" x14ac:dyDescent="0.2">
      <c r="A610" s="1">
        <v>45448</v>
      </c>
      <c r="B610">
        <v>3</v>
      </c>
      <c r="C610" t="s">
        <v>16</v>
      </c>
      <c r="D610" s="2">
        <v>0.41388888888888886</v>
      </c>
      <c r="E610">
        <v>18803.060000000001</v>
      </c>
      <c r="F610" s="2">
        <v>0.41666666666666669</v>
      </c>
      <c r="G610">
        <v>18789.900000000001</v>
      </c>
      <c r="H610">
        <v>18789.900000000001</v>
      </c>
      <c r="I610">
        <v>18835.97</v>
      </c>
      <c r="J610" t="s">
        <v>15</v>
      </c>
      <c r="K610">
        <v>-13.16</v>
      </c>
      <c r="L610" s="9">
        <v>-1</v>
      </c>
      <c r="M610">
        <v>0</v>
      </c>
      <c r="N610">
        <f t="shared" si="18"/>
        <v>4</v>
      </c>
      <c r="O610">
        <f t="shared" si="19"/>
        <v>0</v>
      </c>
    </row>
    <row r="611" spans="1:15" x14ac:dyDescent="0.2">
      <c r="A611" s="1">
        <v>45448</v>
      </c>
      <c r="B611">
        <v>3</v>
      </c>
      <c r="C611" t="s">
        <v>16</v>
      </c>
      <c r="D611" s="2">
        <v>0.44166666666666665</v>
      </c>
      <c r="E611">
        <v>18876.37</v>
      </c>
      <c r="F611" s="2">
        <v>0.45208333333333334</v>
      </c>
      <c r="G611">
        <v>18863.150000000001</v>
      </c>
      <c r="H611">
        <v>18863.150000000001</v>
      </c>
      <c r="I611">
        <v>18909.400000000001</v>
      </c>
      <c r="J611" t="s">
        <v>15</v>
      </c>
      <c r="K611">
        <v>-13.21</v>
      </c>
      <c r="L611" s="9">
        <v>-1</v>
      </c>
      <c r="M611">
        <v>0</v>
      </c>
      <c r="N611">
        <f t="shared" si="18"/>
        <v>5</v>
      </c>
      <c r="O611">
        <f t="shared" si="19"/>
        <v>0</v>
      </c>
    </row>
    <row r="612" spans="1:15" x14ac:dyDescent="0.2">
      <c r="A612" s="1">
        <v>45449</v>
      </c>
      <c r="B612">
        <v>4</v>
      </c>
      <c r="C612" t="s">
        <v>13</v>
      </c>
      <c r="D612" s="2">
        <v>0.41388888888888886</v>
      </c>
      <c r="E612">
        <v>19018.580000000002</v>
      </c>
      <c r="F612" s="2">
        <v>0.41597222222222224</v>
      </c>
      <c r="G612">
        <v>18985.3</v>
      </c>
      <c r="H612">
        <v>19031.900000000001</v>
      </c>
      <c r="I612">
        <v>18985.3</v>
      </c>
      <c r="J612" t="s">
        <v>14</v>
      </c>
      <c r="K612">
        <v>33.28</v>
      </c>
      <c r="L612" s="9">
        <v>2.5</v>
      </c>
      <c r="M612">
        <v>1</v>
      </c>
      <c r="N612">
        <f t="shared" si="18"/>
        <v>0</v>
      </c>
      <c r="O612">
        <f t="shared" si="19"/>
        <v>1</v>
      </c>
    </row>
    <row r="613" spans="1:15" x14ac:dyDescent="0.2">
      <c r="A613" s="1">
        <v>45449</v>
      </c>
      <c r="B613">
        <v>4</v>
      </c>
      <c r="C613" t="s">
        <v>16</v>
      </c>
      <c r="D613" s="2">
        <v>0.43958333333333333</v>
      </c>
      <c r="E613">
        <v>19033.650000000001</v>
      </c>
      <c r="F613" s="2">
        <v>0.45902777777777776</v>
      </c>
      <c r="G613">
        <v>19020.32</v>
      </c>
      <c r="H613">
        <v>19020.32</v>
      </c>
      <c r="I613">
        <v>19066.96</v>
      </c>
      <c r="J613" t="s">
        <v>15</v>
      </c>
      <c r="K613">
        <v>-13.32</v>
      </c>
      <c r="L613" s="9">
        <v>-1</v>
      </c>
      <c r="M613">
        <v>0</v>
      </c>
      <c r="N613">
        <f t="shared" si="18"/>
        <v>1</v>
      </c>
      <c r="O613">
        <f t="shared" si="19"/>
        <v>0</v>
      </c>
    </row>
    <row r="614" spans="1:15" x14ac:dyDescent="0.2">
      <c r="A614" s="1">
        <v>45450</v>
      </c>
      <c r="B614">
        <v>5</v>
      </c>
      <c r="C614" t="s">
        <v>16</v>
      </c>
      <c r="D614" s="2">
        <v>0.41180555555555554</v>
      </c>
      <c r="E614">
        <v>19010.560000000001</v>
      </c>
      <c r="F614" s="2">
        <v>0.41458333333333336</v>
      </c>
      <c r="G614">
        <v>18997.25</v>
      </c>
      <c r="H614">
        <v>18997.25</v>
      </c>
      <c r="I614">
        <v>19043.830000000002</v>
      </c>
      <c r="J614" t="s">
        <v>15</v>
      </c>
      <c r="K614">
        <v>-13.31</v>
      </c>
      <c r="L614" s="9">
        <v>-1</v>
      </c>
      <c r="M614">
        <v>0</v>
      </c>
      <c r="N614">
        <f t="shared" si="18"/>
        <v>2</v>
      </c>
      <c r="O614">
        <f t="shared" si="19"/>
        <v>0</v>
      </c>
    </row>
    <row r="615" spans="1:15" x14ac:dyDescent="0.2">
      <c r="A615" s="1">
        <v>45450</v>
      </c>
      <c r="B615">
        <v>5</v>
      </c>
      <c r="C615" t="s">
        <v>16</v>
      </c>
      <c r="D615" s="2">
        <v>0.4513888888888889</v>
      </c>
      <c r="E615">
        <v>19065.810000000001</v>
      </c>
      <c r="F615" s="2">
        <v>0.45277777777777778</v>
      </c>
      <c r="G615">
        <v>19052.47</v>
      </c>
      <c r="H615">
        <v>19052.47</v>
      </c>
      <c r="I615">
        <v>19099.18</v>
      </c>
      <c r="J615" t="s">
        <v>15</v>
      </c>
      <c r="K615">
        <v>-13.35</v>
      </c>
      <c r="L615" s="9">
        <v>-1</v>
      </c>
      <c r="M615">
        <v>0</v>
      </c>
      <c r="N615">
        <f t="shared" si="18"/>
        <v>3</v>
      </c>
      <c r="O615">
        <f t="shared" si="19"/>
        <v>0</v>
      </c>
    </row>
    <row r="616" spans="1:15" x14ac:dyDescent="0.2">
      <c r="A616" s="1">
        <v>45453</v>
      </c>
      <c r="B616">
        <v>1</v>
      </c>
      <c r="C616" t="s">
        <v>16</v>
      </c>
      <c r="D616" s="2">
        <v>0.43888888888888888</v>
      </c>
      <c r="E616">
        <v>19000.349999999999</v>
      </c>
      <c r="F616" s="2">
        <v>0.45694444444444443</v>
      </c>
      <c r="G616">
        <v>19033.599999999999</v>
      </c>
      <c r="H616">
        <v>18987.05</v>
      </c>
      <c r="I616">
        <v>19033.599999999999</v>
      </c>
      <c r="J616" t="s">
        <v>14</v>
      </c>
      <c r="K616">
        <v>33.25</v>
      </c>
      <c r="L616" s="9">
        <v>2.5</v>
      </c>
      <c r="M616">
        <v>1</v>
      </c>
      <c r="N616">
        <f t="shared" si="18"/>
        <v>0</v>
      </c>
      <c r="O616">
        <f t="shared" si="19"/>
        <v>1</v>
      </c>
    </row>
    <row r="617" spans="1:15" x14ac:dyDescent="0.2">
      <c r="A617" s="1">
        <v>45454</v>
      </c>
      <c r="B617">
        <v>2</v>
      </c>
      <c r="C617" t="s">
        <v>16</v>
      </c>
      <c r="D617" s="2">
        <v>0.40069444444444446</v>
      </c>
      <c r="E617">
        <v>19039.87</v>
      </c>
      <c r="F617" s="2">
        <v>0.40208333333333335</v>
      </c>
      <c r="G617">
        <v>19026.54</v>
      </c>
      <c r="H617">
        <v>19026.54</v>
      </c>
      <c r="I617">
        <v>19073.189999999999</v>
      </c>
      <c r="J617" t="s">
        <v>15</v>
      </c>
      <c r="K617">
        <v>-13.33</v>
      </c>
      <c r="L617" s="9">
        <v>-1</v>
      </c>
      <c r="M617">
        <v>0</v>
      </c>
      <c r="N617">
        <f t="shared" si="18"/>
        <v>1</v>
      </c>
      <c r="O617">
        <f t="shared" si="19"/>
        <v>0</v>
      </c>
    </row>
    <row r="618" spans="1:15" x14ac:dyDescent="0.2">
      <c r="A618" s="1">
        <v>45454</v>
      </c>
      <c r="B618">
        <v>2</v>
      </c>
      <c r="C618" t="s">
        <v>13</v>
      </c>
      <c r="D618" s="2">
        <v>0.41458333333333336</v>
      </c>
      <c r="E618">
        <v>18981.23</v>
      </c>
      <c r="F618" s="2">
        <v>0.4152777777777778</v>
      </c>
      <c r="G618">
        <v>18994.52</v>
      </c>
      <c r="H618">
        <v>18994.52</v>
      </c>
      <c r="I618">
        <v>18948.02</v>
      </c>
      <c r="J618" t="s">
        <v>15</v>
      </c>
      <c r="K618">
        <v>-13.29</v>
      </c>
      <c r="L618" s="9">
        <v>-1</v>
      </c>
      <c r="M618">
        <v>0</v>
      </c>
      <c r="N618">
        <f t="shared" si="18"/>
        <v>2</v>
      </c>
      <c r="O618">
        <f t="shared" si="19"/>
        <v>0</v>
      </c>
    </row>
    <row r="619" spans="1:15" x14ac:dyDescent="0.2">
      <c r="A619" s="1">
        <v>45454</v>
      </c>
      <c r="B619">
        <v>2</v>
      </c>
      <c r="C619" t="s">
        <v>16</v>
      </c>
      <c r="D619" s="2">
        <v>0.42638888888888887</v>
      </c>
      <c r="E619">
        <v>19030.7</v>
      </c>
      <c r="F619" s="2">
        <v>0.44444444444444442</v>
      </c>
      <c r="G619">
        <v>19064</v>
      </c>
      <c r="H619">
        <v>19017.38</v>
      </c>
      <c r="I619">
        <v>19064</v>
      </c>
      <c r="J619" t="s">
        <v>14</v>
      </c>
      <c r="K619">
        <v>33.299999999999997</v>
      </c>
      <c r="L619" s="9">
        <v>2.5</v>
      </c>
      <c r="M619">
        <v>1</v>
      </c>
      <c r="N619">
        <f t="shared" si="18"/>
        <v>0</v>
      </c>
      <c r="O619">
        <f t="shared" si="19"/>
        <v>1</v>
      </c>
    </row>
    <row r="620" spans="1:15" x14ac:dyDescent="0.2">
      <c r="A620" s="1">
        <v>45456</v>
      </c>
      <c r="B620">
        <v>4</v>
      </c>
      <c r="C620" t="s">
        <v>16</v>
      </c>
      <c r="D620" s="2">
        <v>0.40347222222222223</v>
      </c>
      <c r="E620">
        <v>19622.330000000002</v>
      </c>
      <c r="F620" s="2">
        <v>0.40416666666666667</v>
      </c>
      <c r="G620">
        <v>19608.599999999999</v>
      </c>
      <c r="H620">
        <v>19608.599999999999</v>
      </c>
      <c r="I620">
        <v>19656.669999999998</v>
      </c>
      <c r="J620" t="s">
        <v>15</v>
      </c>
      <c r="K620">
        <v>-13.74</v>
      </c>
      <c r="L620" s="9">
        <v>-1</v>
      </c>
      <c r="M620">
        <v>0</v>
      </c>
      <c r="N620">
        <f t="shared" si="18"/>
        <v>1</v>
      </c>
      <c r="O620">
        <f t="shared" si="19"/>
        <v>0</v>
      </c>
    </row>
    <row r="621" spans="1:15" x14ac:dyDescent="0.2">
      <c r="A621" s="1">
        <v>45456</v>
      </c>
      <c r="B621">
        <v>4</v>
      </c>
      <c r="C621" t="s">
        <v>13</v>
      </c>
      <c r="D621" s="2">
        <v>0.43055555555555558</v>
      </c>
      <c r="E621">
        <v>19554.04</v>
      </c>
      <c r="F621" s="2">
        <v>0.43263888888888891</v>
      </c>
      <c r="G621">
        <v>19519.82</v>
      </c>
      <c r="H621">
        <v>19567.73</v>
      </c>
      <c r="I621">
        <v>19519.82</v>
      </c>
      <c r="J621" t="s">
        <v>14</v>
      </c>
      <c r="K621">
        <v>34.22</v>
      </c>
      <c r="L621" s="9">
        <v>2.5</v>
      </c>
      <c r="M621">
        <v>1</v>
      </c>
      <c r="N621">
        <f t="shared" si="18"/>
        <v>0</v>
      </c>
      <c r="O621">
        <f t="shared" si="19"/>
        <v>1</v>
      </c>
    </row>
    <row r="622" spans="1:15" x14ac:dyDescent="0.2">
      <c r="A622" s="1">
        <v>45456</v>
      </c>
      <c r="B622">
        <v>4</v>
      </c>
      <c r="C622" t="s">
        <v>13</v>
      </c>
      <c r="D622" s="2">
        <v>0.45763888888888887</v>
      </c>
      <c r="E622">
        <v>19532.68</v>
      </c>
      <c r="F622" s="2">
        <v>0.46250000000000002</v>
      </c>
      <c r="G622">
        <v>19546.349999999999</v>
      </c>
      <c r="H622">
        <v>19546.349999999999</v>
      </c>
      <c r="I622">
        <v>19498.490000000002</v>
      </c>
      <c r="J622" t="s">
        <v>15</v>
      </c>
      <c r="K622">
        <v>-13.67</v>
      </c>
      <c r="L622" s="9">
        <v>-1</v>
      </c>
      <c r="M622">
        <v>0</v>
      </c>
      <c r="N622">
        <f t="shared" si="18"/>
        <v>1</v>
      </c>
      <c r="O622">
        <f t="shared" si="19"/>
        <v>0</v>
      </c>
    </row>
    <row r="623" spans="1:15" x14ac:dyDescent="0.2">
      <c r="A623" s="1">
        <v>45457</v>
      </c>
      <c r="B623">
        <v>5</v>
      </c>
      <c r="C623" t="s">
        <v>16</v>
      </c>
      <c r="D623" s="2">
        <v>0.40347222222222223</v>
      </c>
      <c r="E623">
        <v>19567.75</v>
      </c>
      <c r="F623" s="2">
        <v>0.40902777777777777</v>
      </c>
      <c r="G623">
        <v>19601.990000000002</v>
      </c>
      <c r="H623">
        <v>19554.05</v>
      </c>
      <c r="I623">
        <v>19601.990000000002</v>
      </c>
      <c r="J623" t="s">
        <v>14</v>
      </c>
      <c r="K623">
        <v>34.24</v>
      </c>
      <c r="L623" s="9">
        <v>2.5</v>
      </c>
      <c r="M623">
        <v>1</v>
      </c>
      <c r="N623">
        <f t="shared" si="18"/>
        <v>0</v>
      </c>
      <c r="O623">
        <f t="shared" si="19"/>
        <v>1</v>
      </c>
    </row>
    <row r="624" spans="1:15" x14ac:dyDescent="0.2">
      <c r="A624" s="1">
        <v>45460</v>
      </c>
      <c r="B624">
        <v>1</v>
      </c>
      <c r="C624" t="s">
        <v>13</v>
      </c>
      <c r="D624" s="2">
        <v>0.40763888888888888</v>
      </c>
      <c r="E624">
        <v>19658.96</v>
      </c>
      <c r="F624" s="2">
        <v>0.40902777777777777</v>
      </c>
      <c r="G624">
        <v>19624.560000000001</v>
      </c>
      <c r="H624">
        <v>19672.72</v>
      </c>
      <c r="I624">
        <v>19624.560000000001</v>
      </c>
      <c r="J624" t="s">
        <v>14</v>
      </c>
      <c r="K624">
        <v>34.4</v>
      </c>
      <c r="L624" s="9">
        <v>2.5</v>
      </c>
      <c r="M624">
        <v>1</v>
      </c>
      <c r="N624">
        <f t="shared" si="18"/>
        <v>0</v>
      </c>
      <c r="O624">
        <f t="shared" si="19"/>
        <v>2</v>
      </c>
    </row>
    <row r="625" spans="1:15" x14ac:dyDescent="0.2">
      <c r="A625" s="1">
        <v>45460</v>
      </c>
      <c r="B625">
        <v>1</v>
      </c>
      <c r="C625" t="s">
        <v>16</v>
      </c>
      <c r="D625" s="2">
        <v>0.42499999999999999</v>
      </c>
      <c r="E625">
        <v>19685.86</v>
      </c>
      <c r="F625" s="2">
        <v>0.43402777777777779</v>
      </c>
      <c r="G625">
        <v>19672.080000000002</v>
      </c>
      <c r="H625">
        <v>19672.080000000002</v>
      </c>
      <c r="I625">
        <v>19720.310000000001</v>
      </c>
      <c r="J625" t="s">
        <v>15</v>
      </c>
      <c r="K625">
        <v>-13.78</v>
      </c>
      <c r="L625" s="9">
        <v>-1</v>
      </c>
      <c r="M625">
        <v>0</v>
      </c>
      <c r="N625">
        <f t="shared" si="18"/>
        <v>1</v>
      </c>
      <c r="O625">
        <f t="shared" si="19"/>
        <v>0</v>
      </c>
    </row>
    <row r="626" spans="1:15" x14ac:dyDescent="0.2">
      <c r="A626" s="1">
        <v>45461</v>
      </c>
      <c r="B626">
        <v>2</v>
      </c>
      <c r="C626" t="s">
        <v>13</v>
      </c>
      <c r="D626" s="2">
        <v>0.40833333333333333</v>
      </c>
      <c r="E626">
        <v>19904.48</v>
      </c>
      <c r="F626" s="2">
        <v>0.41458333333333336</v>
      </c>
      <c r="G626">
        <v>19918.41</v>
      </c>
      <c r="H626">
        <v>19918.41</v>
      </c>
      <c r="I626">
        <v>19869.64</v>
      </c>
      <c r="J626" t="s">
        <v>15</v>
      </c>
      <c r="K626">
        <v>-13.93</v>
      </c>
      <c r="L626" s="9">
        <v>-1</v>
      </c>
      <c r="M626">
        <v>0</v>
      </c>
      <c r="N626">
        <f t="shared" si="18"/>
        <v>2</v>
      </c>
      <c r="O626">
        <f t="shared" si="19"/>
        <v>0</v>
      </c>
    </row>
    <row r="627" spans="1:15" x14ac:dyDescent="0.2">
      <c r="A627" s="1">
        <v>45461</v>
      </c>
      <c r="B627">
        <v>2</v>
      </c>
      <c r="C627" t="s">
        <v>16</v>
      </c>
      <c r="D627" s="2">
        <v>0.42708333333333331</v>
      </c>
      <c r="E627">
        <v>19921.03</v>
      </c>
      <c r="F627" s="2">
        <v>0.42916666666666664</v>
      </c>
      <c r="G627">
        <v>19907.09</v>
      </c>
      <c r="H627">
        <v>19907.09</v>
      </c>
      <c r="I627">
        <v>19955.89</v>
      </c>
      <c r="J627" t="s">
        <v>15</v>
      </c>
      <c r="K627">
        <v>-13.94</v>
      </c>
      <c r="L627" s="9">
        <v>-1</v>
      </c>
      <c r="M627">
        <v>0</v>
      </c>
      <c r="N627">
        <f t="shared" si="18"/>
        <v>3</v>
      </c>
      <c r="O627">
        <f t="shared" si="19"/>
        <v>0</v>
      </c>
    </row>
    <row r="628" spans="1:15" x14ac:dyDescent="0.2">
      <c r="A628" s="1">
        <v>45461</v>
      </c>
      <c r="B628">
        <v>2</v>
      </c>
      <c r="C628" t="s">
        <v>13</v>
      </c>
      <c r="D628" s="2">
        <v>0.45416666666666666</v>
      </c>
      <c r="E628">
        <v>19880.36</v>
      </c>
      <c r="F628" s="2">
        <v>0.46736111111111112</v>
      </c>
      <c r="G628">
        <v>19845.57</v>
      </c>
      <c r="H628">
        <v>19894.27</v>
      </c>
      <c r="I628">
        <v>19845.57</v>
      </c>
      <c r="J628" t="s">
        <v>14</v>
      </c>
      <c r="K628">
        <v>34.79</v>
      </c>
      <c r="L628" s="9">
        <v>2.5</v>
      </c>
      <c r="M628">
        <v>1</v>
      </c>
      <c r="N628">
        <f t="shared" si="18"/>
        <v>0</v>
      </c>
      <c r="O628">
        <f t="shared" si="19"/>
        <v>1</v>
      </c>
    </row>
    <row r="629" spans="1:15" x14ac:dyDescent="0.2">
      <c r="A629" s="1">
        <v>45462</v>
      </c>
      <c r="B629">
        <v>3</v>
      </c>
      <c r="C629" t="s">
        <v>13</v>
      </c>
      <c r="D629" s="2">
        <v>0.41666666666666669</v>
      </c>
      <c r="E629">
        <v>19951.39</v>
      </c>
      <c r="F629" s="2">
        <v>0.64583333333333337</v>
      </c>
      <c r="G629">
        <v>19954.3</v>
      </c>
      <c r="H629">
        <v>19965.36</v>
      </c>
      <c r="I629">
        <v>19916.48</v>
      </c>
      <c r="J629" t="s">
        <v>18</v>
      </c>
      <c r="K629">
        <v>-2.91</v>
      </c>
      <c r="L629" s="9">
        <v>-0.208280401</v>
      </c>
      <c r="M629">
        <v>0</v>
      </c>
      <c r="N629">
        <f t="shared" si="18"/>
        <v>1</v>
      </c>
      <c r="O629">
        <f t="shared" si="19"/>
        <v>0</v>
      </c>
    </row>
    <row r="630" spans="1:15" x14ac:dyDescent="0.2">
      <c r="A630" s="1">
        <v>45463</v>
      </c>
      <c r="B630">
        <v>4</v>
      </c>
      <c r="C630" t="s">
        <v>13</v>
      </c>
      <c r="D630" s="2">
        <v>0.40069444444444446</v>
      </c>
      <c r="E630">
        <v>19931.919999999998</v>
      </c>
      <c r="F630" s="2">
        <v>0.40138888888888891</v>
      </c>
      <c r="G630">
        <v>19945.87</v>
      </c>
      <c r="H630">
        <v>19945.87</v>
      </c>
      <c r="I630">
        <v>19897.03</v>
      </c>
      <c r="J630" t="s">
        <v>15</v>
      </c>
      <c r="K630">
        <v>-13.95</v>
      </c>
      <c r="L630" s="9">
        <v>-1</v>
      </c>
      <c r="M630">
        <v>0</v>
      </c>
      <c r="N630">
        <f t="shared" si="18"/>
        <v>2</v>
      </c>
      <c r="O630">
        <f t="shared" si="19"/>
        <v>0</v>
      </c>
    </row>
    <row r="631" spans="1:15" x14ac:dyDescent="0.2">
      <c r="A631" s="1">
        <v>45463</v>
      </c>
      <c r="B631">
        <v>4</v>
      </c>
      <c r="C631" t="s">
        <v>13</v>
      </c>
      <c r="D631" s="2">
        <v>0.42708333333333331</v>
      </c>
      <c r="E631">
        <v>19879.560000000001</v>
      </c>
      <c r="F631" s="2">
        <v>0.42986111111111114</v>
      </c>
      <c r="G631">
        <v>19844.77</v>
      </c>
      <c r="H631">
        <v>19893.48</v>
      </c>
      <c r="I631">
        <v>19844.77</v>
      </c>
      <c r="J631" t="s">
        <v>14</v>
      </c>
      <c r="K631">
        <v>34.79</v>
      </c>
      <c r="L631" s="9">
        <v>2.5</v>
      </c>
      <c r="M631">
        <v>1</v>
      </c>
      <c r="N631">
        <f t="shared" si="18"/>
        <v>0</v>
      </c>
      <c r="O631">
        <f t="shared" si="19"/>
        <v>1</v>
      </c>
    </row>
    <row r="632" spans="1:15" x14ac:dyDescent="0.2">
      <c r="A632" s="1">
        <v>45467</v>
      </c>
      <c r="B632">
        <v>1</v>
      </c>
      <c r="C632" t="s">
        <v>16</v>
      </c>
      <c r="D632" s="2">
        <v>0.4201388888888889</v>
      </c>
      <c r="E632">
        <v>19696.18</v>
      </c>
      <c r="F632" s="2">
        <v>0.42777777777777776</v>
      </c>
      <c r="G632">
        <v>19682.39</v>
      </c>
      <c r="H632">
        <v>19682.39</v>
      </c>
      <c r="I632">
        <v>19730.650000000001</v>
      </c>
      <c r="J632" t="s">
        <v>15</v>
      </c>
      <c r="K632">
        <v>-13.79</v>
      </c>
      <c r="L632" s="9">
        <v>-1</v>
      </c>
      <c r="M632">
        <v>0</v>
      </c>
      <c r="N632">
        <f t="shared" si="18"/>
        <v>1</v>
      </c>
      <c r="O632">
        <f t="shared" si="19"/>
        <v>0</v>
      </c>
    </row>
    <row r="633" spans="1:15" x14ac:dyDescent="0.2">
      <c r="A633" s="1">
        <v>45467</v>
      </c>
      <c r="B633">
        <v>1</v>
      </c>
      <c r="C633" t="s">
        <v>13</v>
      </c>
      <c r="D633" s="2">
        <v>0.45208333333333334</v>
      </c>
      <c r="E633">
        <v>19574.27</v>
      </c>
      <c r="F633" s="2">
        <v>0.4548611111111111</v>
      </c>
      <c r="G633">
        <v>19587.98</v>
      </c>
      <c r="H633">
        <v>19587.98</v>
      </c>
      <c r="I633">
        <v>19540.02</v>
      </c>
      <c r="J633" t="s">
        <v>15</v>
      </c>
      <c r="K633">
        <v>-13.7</v>
      </c>
      <c r="L633" s="9">
        <v>-1</v>
      </c>
      <c r="M633">
        <v>0</v>
      </c>
      <c r="N633">
        <f t="shared" si="18"/>
        <v>2</v>
      </c>
      <c r="O633">
        <f t="shared" si="19"/>
        <v>0</v>
      </c>
    </row>
    <row r="634" spans="1:15" x14ac:dyDescent="0.2">
      <c r="A634" s="1">
        <v>45469</v>
      </c>
      <c r="B634">
        <v>3</v>
      </c>
      <c r="C634" t="s">
        <v>16</v>
      </c>
      <c r="D634" s="2">
        <v>0.41041666666666665</v>
      </c>
      <c r="E634">
        <v>19711.16</v>
      </c>
      <c r="F634" s="2">
        <v>0.41597222222222224</v>
      </c>
      <c r="G634">
        <v>19697.37</v>
      </c>
      <c r="H634">
        <v>19697.37</v>
      </c>
      <c r="I634">
        <v>19745.66</v>
      </c>
      <c r="J634" t="s">
        <v>15</v>
      </c>
      <c r="K634">
        <v>-13.8</v>
      </c>
      <c r="L634" s="9">
        <v>-1</v>
      </c>
      <c r="M634">
        <v>0</v>
      </c>
      <c r="N634">
        <f t="shared" si="18"/>
        <v>3</v>
      </c>
      <c r="O634">
        <f t="shared" si="19"/>
        <v>0</v>
      </c>
    </row>
    <row r="635" spans="1:15" x14ac:dyDescent="0.2">
      <c r="A635" s="1">
        <v>45469</v>
      </c>
      <c r="B635">
        <v>3</v>
      </c>
      <c r="C635" t="s">
        <v>13</v>
      </c>
      <c r="D635" s="2">
        <v>0.44583333333333336</v>
      </c>
      <c r="E635">
        <v>19712.46</v>
      </c>
      <c r="F635" s="2">
        <v>0.44722222222222224</v>
      </c>
      <c r="G635">
        <v>19726.25</v>
      </c>
      <c r="H635">
        <v>19726.25</v>
      </c>
      <c r="I635">
        <v>19677.96</v>
      </c>
      <c r="J635" t="s">
        <v>15</v>
      </c>
      <c r="K635">
        <v>-13.8</v>
      </c>
      <c r="L635" s="9">
        <v>-1</v>
      </c>
      <c r="M635">
        <v>0</v>
      </c>
      <c r="N635">
        <f t="shared" si="18"/>
        <v>4</v>
      </c>
      <c r="O635">
        <f t="shared" si="19"/>
        <v>0</v>
      </c>
    </row>
    <row r="636" spans="1:15" x14ac:dyDescent="0.2">
      <c r="A636" s="1">
        <v>45470</v>
      </c>
      <c r="B636">
        <v>4</v>
      </c>
      <c r="C636" t="s">
        <v>16</v>
      </c>
      <c r="D636" s="2">
        <v>0.40277777777777779</v>
      </c>
      <c r="E636">
        <v>19823.25</v>
      </c>
      <c r="F636" s="2">
        <v>0.40486111111111112</v>
      </c>
      <c r="G636">
        <v>19809.38</v>
      </c>
      <c r="H636">
        <v>19809.38</v>
      </c>
      <c r="I636">
        <v>19857.939999999999</v>
      </c>
      <c r="J636" t="s">
        <v>15</v>
      </c>
      <c r="K636">
        <v>-13.88</v>
      </c>
      <c r="L636" s="9">
        <v>-1</v>
      </c>
      <c r="M636">
        <v>0</v>
      </c>
      <c r="N636">
        <f t="shared" si="18"/>
        <v>5</v>
      </c>
      <c r="O636">
        <f t="shared" si="19"/>
        <v>0</v>
      </c>
    </row>
    <row r="637" spans="1:15" x14ac:dyDescent="0.2">
      <c r="A637" s="1">
        <v>45470</v>
      </c>
      <c r="B637">
        <v>4</v>
      </c>
      <c r="C637" t="s">
        <v>16</v>
      </c>
      <c r="D637" s="2">
        <v>0.42777777777777776</v>
      </c>
      <c r="E637">
        <v>19832.8</v>
      </c>
      <c r="F637" s="2">
        <v>0.42986111111111114</v>
      </c>
      <c r="G637">
        <v>19818.919999999998</v>
      </c>
      <c r="H637">
        <v>19818.919999999998</v>
      </c>
      <c r="I637">
        <v>19867.509999999998</v>
      </c>
      <c r="J637" t="s">
        <v>15</v>
      </c>
      <c r="K637">
        <v>-13.88</v>
      </c>
      <c r="L637" s="9">
        <v>-1</v>
      </c>
      <c r="M637">
        <v>0</v>
      </c>
      <c r="N637">
        <f t="shared" si="18"/>
        <v>6</v>
      </c>
      <c r="O637">
        <f t="shared" si="19"/>
        <v>0</v>
      </c>
    </row>
    <row r="638" spans="1:15" x14ac:dyDescent="0.2">
      <c r="A638" s="1">
        <v>45470</v>
      </c>
      <c r="B638">
        <v>4</v>
      </c>
      <c r="C638" t="s">
        <v>13</v>
      </c>
      <c r="D638" s="2">
        <v>0.4513888888888889</v>
      </c>
      <c r="E638">
        <v>19773.62</v>
      </c>
      <c r="F638" s="2">
        <v>0.4777777777777778</v>
      </c>
      <c r="G638">
        <v>19739.02</v>
      </c>
      <c r="H638">
        <v>19787.46</v>
      </c>
      <c r="I638">
        <v>19739.02</v>
      </c>
      <c r="J638" t="s">
        <v>14</v>
      </c>
      <c r="K638">
        <v>34.6</v>
      </c>
      <c r="L638" s="9">
        <v>2.5</v>
      </c>
      <c r="M638">
        <v>1</v>
      </c>
      <c r="N638">
        <f t="shared" si="18"/>
        <v>0</v>
      </c>
      <c r="O638">
        <f t="shared" si="19"/>
        <v>1</v>
      </c>
    </row>
    <row r="639" spans="1:15" x14ac:dyDescent="0.2">
      <c r="A639" s="1">
        <v>45471</v>
      </c>
      <c r="B639">
        <v>5</v>
      </c>
      <c r="C639" t="s">
        <v>13</v>
      </c>
      <c r="D639" s="2">
        <v>0.39930555555555558</v>
      </c>
      <c r="E639">
        <v>19804.060000000001</v>
      </c>
      <c r="F639" s="2">
        <v>0.4</v>
      </c>
      <c r="G639">
        <v>19817.93</v>
      </c>
      <c r="H639">
        <v>19817.93</v>
      </c>
      <c r="I639">
        <v>19769.41</v>
      </c>
      <c r="J639" t="s">
        <v>15</v>
      </c>
      <c r="K639">
        <v>-13.86</v>
      </c>
      <c r="L639" s="9">
        <v>-1</v>
      </c>
      <c r="M639">
        <v>0</v>
      </c>
      <c r="N639">
        <f t="shared" si="18"/>
        <v>1</v>
      </c>
      <c r="O639">
        <f t="shared" si="19"/>
        <v>0</v>
      </c>
    </row>
    <row r="640" spans="1:15" x14ac:dyDescent="0.2">
      <c r="A640" s="1">
        <v>45471</v>
      </c>
      <c r="B640">
        <v>5</v>
      </c>
      <c r="C640" t="s">
        <v>16</v>
      </c>
      <c r="D640" s="2">
        <v>0.40833333333333333</v>
      </c>
      <c r="E640">
        <v>19859.61</v>
      </c>
      <c r="F640" s="2">
        <v>0.4152777777777778</v>
      </c>
      <c r="G640">
        <v>19894.37</v>
      </c>
      <c r="H640">
        <v>19845.71</v>
      </c>
      <c r="I640">
        <v>19894.37</v>
      </c>
      <c r="J640" t="s">
        <v>14</v>
      </c>
      <c r="K640">
        <v>34.75</v>
      </c>
      <c r="L640" s="9">
        <v>2.5</v>
      </c>
      <c r="M640">
        <v>1</v>
      </c>
      <c r="N640">
        <f t="shared" si="18"/>
        <v>0</v>
      </c>
      <c r="O640">
        <f t="shared" si="19"/>
        <v>1</v>
      </c>
    </row>
    <row r="641" spans="1:15" x14ac:dyDescent="0.2">
      <c r="A641" s="1">
        <v>45471</v>
      </c>
      <c r="B641">
        <v>5</v>
      </c>
      <c r="C641" t="s">
        <v>13</v>
      </c>
      <c r="D641" s="2">
        <v>0.44722222222222224</v>
      </c>
      <c r="E641">
        <v>19939.490000000002</v>
      </c>
      <c r="F641" s="2">
        <v>0.45416666666666666</v>
      </c>
      <c r="G641">
        <v>19904.599999999999</v>
      </c>
      <c r="H641">
        <v>19953.45</v>
      </c>
      <c r="I641">
        <v>19904.599999999999</v>
      </c>
      <c r="J641" t="s">
        <v>14</v>
      </c>
      <c r="K641">
        <v>34.89</v>
      </c>
      <c r="L641" s="9">
        <v>2.5</v>
      </c>
      <c r="M641">
        <v>1</v>
      </c>
      <c r="N641">
        <f t="shared" si="18"/>
        <v>0</v>
      </c>
      <c r="O641">
        <f t="shared" si="19"/>
        <v>2</v>
      </c>
    </row>
    <row r="642" spans="1:15" x14ac:dyDescent="0.2">
      <c r="A642" s="1">
        <v>45475</v>
      </c>
      <c r="B642">
        <v>2</v>
      </c>
      <c r="C642" t="s">
        <v>16</v>
      </c>
      <c r="D642" s="2">
        <v>0.39930555555555558</v>
      </c>
      <c r="E642">
        <v>19775.310000000001</v>
      </c>
      <c r="F642" s="2">
        <v>0.40138888888888891</v>
      </c>
      <c r="G642">
        <v>19809.919999999998</v>
      </c>
      <c r="H642">
        <v>19761.47</v>
      </c>
      <c r="I642">
        <v>19809.919999999998</v>
      </c>
      <c r="J642" t="s">
        <v>14</v>
      </c>
      <c r="K642">
        <v>34.61</v>
      </c>
      <c r="L642" s="9">
        <v>2.5</v>
      </c>
      <c r="M642">
        <v>1</v>
      </c>
      <c r="N642">
        <f t="shared" ref="N642:N705" si="20">IF(M642=0, IF(M641=0, N641+1, 1), 0)</f>
        <v>0</v>
      </c>
      <c r="O642">
        <f t="shared" ref="O642:O705" si="21">IF(M642=1, IF(M641=1, O641+1, 1), 0)</f>
        <v>3</v>
      </c>
    </row>
    <row r="643" spans="1:15" x14ac:dyDescent="0.2">
      <c r="A643" s="1">
        <v>45475</v>
      </c>
      <c r="B643">
        <v>2</v>
      </c>
      <c r="C643" t="s">
        <v>16</v>
      </c>
      <c r="D643" s="2">
        <v>0.44236111111111109</v>
      </c>
      <c r="E643">
        <v>19841.759999999998</v>
      </c>
      <c r="F643" s="2">
        <v>0.44791666666666669</v>
      </c>
      <c r="G643">
        <v>19827.87</v>
      </c>
      <c r="H643">
        <v>19827.87</v>
      </c>
      <c r="I643">
        <v>19876.490000000002</v>
      </c>
      <c r="J643" t="s">
        <v>15</v>
      </c>
      <c r="K643">
        <v>-13.89</v>
      </c>
      <c r="L643" s="9">
        <v>-1</v>
      </c>
      <c r="M643">
        <v>0</v>
      </c>
      <c r="N643">
        <f t="shared" si="20"/>
        <v>1</v>
      </c>
      <c r="O643">
        <f t="shared" si="21"/>
        <v>0</v>
      </c>
    </row>
    <row r="644" spans="1:15" x14ac:dyDescent="0.2">
      <c r="A644" s="1">
        <v>45477</v>
      </c>
      <c r="B644">
        <v>4</v>
      </c>
      <c r="C644" t="s">
        <v>13</v>
      </c>
      <c r="D644" s="2">
        <v>0.40069444444444446</v>
      </c>
      <c r="E644">
        <v>20157.2</v>
      </c>
      <c r="F644" s="2">
        <v>0.4465277777777778</v>
      </c>
      <c r="G644">
        <v>20171.310000000001</v>
      </c>
      <c r="H644">
        <v>20171.310000000001</v>
      </c>
      <c r="I644">
        <v>20121.919999999998</v>
      </c>
      <c r="J644" t="s">
        <v>15</v>
      </c>
      <c r="K644">
        <v>-14.11</v>
      </c>
      <c r="L644" s="9">
        <v>-1</v>
      </c>
      <c r="M644">
        <v>0</v>
      </c>
      <c r="N644">
        <f t="shared" si="20"/>
        <v>2</v>
      </c>
      <c r="O644">
        <f t="shared" si="21"/>
        <v>0</v>
      </c>
    </row>
    <row r="645" spans="1:15" x14ac:dyDescent="0.2">
      <c r="A645" s="1">
        <v>45477</v>
      </c>
      <c r="B645">
        <v>4</v>
      </c>
      <c r="C645" t="s">
        <v>16</v>
      </c>
      <c r="D645" s="2">
        <v>0.44722222222222224</v>
      </c>
      <c r="E645">
        <v>20169.8</v>
      </c>
      <c r="F645" s="2">
        <v>0.48402777777777778</v>
      </c>
      <c r="G645">
        <v>20155.68</v>
      </c>
      <c r="H645">
        <v>20155.68</v>
      </c>
      <c r="I645">
        <v>20205.099999999999</v>
      </c>
      <c r="J645" t="s">
        <v>15</v>
      </c>
      <c r="K645">
        <v>-14.12</v>
      </c>
      <c r="L645" s="9">
        <v>-1</v>
      </c>
      <c r="M645">
        <v>0</v>
      </c>
      <c r="N645">
        <f t="shared" si="20"/>
        <v>3</v>
      </c>
      <c r="O645">
        <f t="shared" si="21"/>
        <v>0</v>
      </c>
    </row>
    <row r="646" spans="1:15" x14ac:dyDescent="0.2">
      <c r="A646" s="1">
        <v>45478</v>
      </c>
      <c r="B646">
        <v>5</v>
      </c>
      <c r="C646" t="s">
        <v>16</v>
      </c>
      <c r="D646" s="2">
        <v>0.39791666666666664</v>
      </c>
      <c r="E646">
        <v>20228.22</v>
      </c>
      <c r="F646" s="2">
        <v>0.40138888888888891</v>
      </c>
      <c r="G646">
        <v>20263.62</v>
      </c>
      <c r="H646">
        <v>20214.060000000001</v>
      </c>
      <c r="I646">
        <v>20263.62</v>
      </c>
      <c r="J646" t="s">
        <v>14</v>
      </c>
      <c r="K646">
        <v>35.4</v>
      </c>
      <c r="L646" s="9">
        <v>2.5</v>
      </c>
      <c r="M646">
        <v>1</v>
      </c>
      <c r="N646">
        <f t="shared" si="20"/>
        <v>0</v>
      </c>
      <c r="O646">
        <f t="shared" si="21"/>
        <v>1</v>
      </c>
    </row>
    <row r="647" spans="1:15" x14ac:dyDescent="0.2">
      <c r="A647" s="1">
        <v>45478</v>
      </c>
      <c r="B647">
        <v>5</v>
      </c>
      <c r="C647" t="s">
        <v>16</v>
      </c>
      <c r="D647" s="2">
        <v>0.41597222222222224</v>
      </c>
      <c r="E647">
        <v>20275.05</v>
      </c>
      <c r="F647" s="2">
        <v>0.41736111111111113</v>
      </c>
      <c r="G647">
        <v>20310.54</v>
      </c>
      <c r="H647">
        <v>20260.86</v>
      </c>
      <c r="I647">
        <v>20310.54</v>
      </c>
      <c r="J647" t="s">
        <v>14</v>
      </c>
      <c r="K647">
        <v>35.479999999999997</v>
      </c>
      <c r="L647" s="9">
        <v>2.5</v>
      </c>
      <c r="M647">
        <v>1</v>
      </c>
      <c r="N647">
        <f t="shared" si="20"/>
        <v>0</v>
      </c>
      <c r="O647">
        <f t="shared" si="21"/>
        <v>2</v>
      </c>
    </row>
    <row r="648" spans="1:15" x14ac:dyDescent="0.2">
      <c r="A648" s="1">
        <v>45478</v>
      </c>
      <c r="B648">
        <v>5</v>
      </c>
      <c r="C648" t="s">
        <v>16</v>
      </c>
      <c r="D648" s="2">
        <v>0.43472222222222223</v>
      </c>
      <c r="E648">
        <v>20279.68</v>
      </c>
      <c r="F648" s="2">
        <v>0.44166666666666665</v>
      </c>
      <c r="G648">
        <v>20265.48</v>
      </c>
      <c r="H648">
        <v>20265.48</v>
      </c>
      <c r="I648">
        <v>20315.16</v>
      </c>
      <c r="J648" t="s">
        <v>15</v>
      </c>
      <c r="K648">
        <v>-14.2</v>
      </c>
      <c r="L648" s="9">
        <v>-1</v>
      </c>
      <c r="M648">
        <v>0</v>
      </c>
      <c r="N648">
        <f t="shared" si="20"/>
        <v>1</v>
      </c>
      <c r="O648">
        <f t="shared" si="21"/>
        <v>0</v>
      </c>
    </row>
    <row r="649" spans="1:15" x14ac:dyDescent="0.2">
      <c r="A649" s="1">
        <v>45481</v>
      </c>
      <c r="B649">
        <v>1</v>
      </c>
      <c r="C649" t="s">
        <v>13</v>
      </c>
      <c r="D649" s="2">
        <v>0.44374999999999998</v>
      </c>
      <c r="E649">
        <v>20379.689999999999</v>
      </c>
      <c r="F649" s="2">
        <v>0.46041666666666664</v>
      </c>
      <c r="G649">
        <v>20393.95</v>
      </c>
      <c r="H649">
        <v>20393.95</v>
      </c>
      <c r="I649">
        <v>20344.02</v>
      </c>
      <c r="J649" t="s">
        <v>15</v>
      </c>
      <c r="K649">
        <v>-14.27</v>
      </c>
      <c r="L649" s="9">
        <v>-1</v>
      </c>
      <c r="M649">
        <v>0</v>
      </c>
      <c r="N649">
        <f t="shared" si="20"/>
        <v>2</v>
      </c>
      <c r="O649">
        <f t="shared" si="21"/>
        <v>0</v>
      </c>
    </row>
    <row r="650" spans="1:15" x14ac:dyDescent="0.2">
      <c r="A650" s="1">
        <v>45484</v>
      </c>
      <c r="B650">
        <v>4</v>
      </c>
      <c r="C650" t="s">
        <v>13</v>
      </c>
      <c r="D650" s="2">
        <v>0.40486111111111112</v>
      </c>
      <c r="E650">
        <v>20644.39</v>
      </c>
      <c r="F650" s="2">
        <v>0.40555555555555556</v>
      </c>
      <c r="G650">
        <v>20658.849999999999</v>
      </c>
      <c r="H650">
        <v>20658.849999999999</v>
      </c>
      <c r="I650">
        <v>20608.27</v>
      </c>
      <c r="J650" t="s">
        <v>15</v>
      </c>
      <c r="K650">
        <v>-14.45</v>
      </c>
      <c r="L650" s="9">
        <v>-1</v>
      </c>
      <c r="M650">
        <v>0</v>
      </c>
      <c r="N650">
        <f t="shared" si="20"/>
        <v>3</v>
      </c>
      <c r="O650">
        <f t="shared" si="21"/>
        <v>0</v>
      </c>
    </row>
    <row r="651" spans="1:15" x14ac:dyDescent="0.2">
      <c r="A651" s="1">
        <v>45485</v>
      </c>
      <c r="B651">
        <v>5</v>
      </c>
      <c r="C651" t="s">
        <v>16</v>
      </c>
      <c r="D651" s="2">
        <v>0.40416666666666667</v>
      </c>
      <c r="E651">
        <v>20253.29</v>
      </c>
      <c r="F651" s="2">
        <v>0.40555555555555556</v>
      </c>
      <c r="G651">
        <v>20239.11</v>
      </c>
      <c r="H651">
        <v>20239.11</v>
      </c>
      <c r="I651">
        <v>20288.73</v>
      </c>
      <c r="J651" t="s">
        <v>15</v>
      </c>
      <c r="K651">
        <v>-14.18</v>
      </c>
      <c r="L651" s="9">
        <v>-1</v>
      </c>
      <c r="M651">
        <v>0</v>
      </c>
      <c r="N651">
        <f t="shared" si="20"/>
        <v>4</v>
      </c>
      <c r="O651">
        <f t="shared" si="21"/>
        <v>0</v>
      </c>
    </row>
    <row r="652" spans="1:15" x14ac:dyDescent="0.2">
      <c r="A652" s="1">
        <v>45485</v>
      </c>
      <c r="B652">
        <v>5</v>
      </c>
      <c r="C652" t="s">
        <v>16</v>
      </c>
      <c r="D652" s="2">
        <v>0.4465277777777778</v>
      </c>
      <c r="E652">
        <v>20416.23</v>
      </c>
      <c r="F652" s="2">
        <v>0.45416666666666666</v>
      </c>
      <c r="G652">
        <v>20451.96</v>
      </c>
      <c r="H652">
        <v>20401.939999999999</v>
      </c>
      <c r="I652">
        <v>20451.96</v>
      </c>
      <c r="J652" t="s">
        <v>14</v>
      </c>
      <c r="K652">
        <v>35.729999999999997</v>
      </c>
      <c r="L652" s="9">
        <v>2.5</v>
      </c>
      <c r="M652">
        <v>1</v>
      </c>
      <c r="N652">
        <f t="shared" si="20"/>
        <v>0</v>
      </c>
      <c r="O652">
        <f t="shared" si="21"/>
        <v>1</v>
      </c>
    </row>
    <row r="653" spans="1:15" x14ac:dyDescent="0.2">
      <c r="A653" s="1">
        <v>45488</v>
      </c>
      <c r="B653">
        <v>1</v>
      </c>
      <c r="C653" t="s">
        <v>16</v>
      </c>
      <c r="D653" s="2">
        <v>0.40486111111111112</v>
      </c>
      <c r="E653">
        <v>20440.830000000002</v>
      </c>
      <c r="F653" s="2">
        <v>0.40555555555555556</v>
      </c>
      <c r="G653">
        <v>20426.52</v>
      </c>
      <c r="H653">
        <v>20426.52</v>
      </c>
      <c r="I653">
        <v>20476.599999999999</v>
      </c>
      <c r="J653" t="s">
        <v>15</v>
      </c>
      <c r="K653">
        <v>-14.31</v>
      </c>
      <c r="L653" s="9">
        <v>-1</v>
      </c>
      <c r="M653">
        <v>0</v>
      </c>
      <c r="N653">
        <f t="shared" si="20"/>
        <v>1</v>
      </c>
      <c r="O653">
        <f t="shared" si="21"/>
        <v>0</v>
      </c>
    </row>
    <row r="654" spans="1:15" x14ac:dyDescent="0.2">
      <c r="A654" s="1">
        <v>45488</v>
      </c>
      <c r="B654">
        <v>1</v>
      </c>
      <c r="C654" t="s">
        <v>16</v>
      </c>
      <c r="D654" s="2">
        <v>0.4201388888888889</v>
      </c>
      <c r="E654">
        <v>20448.419999999998</v>
      </c>
      <c r="F654" s="2">
        <v>0.4375</v>
      </c>
      <c r="G654">
        <v>20484.21</v>
      </c>
      <c r="H654">
        <v>20434.11</v>
      </c>
      <c r="I654">
        <v>20484.21</v>
      </c>
      <c r="J654" t="s">
        <v>14</v>
      </c>
      <c r="K654">
        <v>35.78</v>
      </c>
      <c r="L654" s="9">
        <v>2.5</v>
      </c>
      <c r="M654">
        <v>1</v>
      </c>
      <c r="N654">
        <f t="shared" si="20"/>
        <v>0</v>
      </c>
      <c r="O654">
        <f t="shared" si="21"/>
        <v>1</v>
      </c>
    </row>
    <row r="655" spans="1:15" x14ac:dyDescent="0.2">
      <c r="A655" s="1">
        <v>45489</v>
      </c>
      <c r="B655">
        <v>2</v>
      </c>
      <c r="C655" t="s">
        <v>13</v>
      </c>
      <c r="D655" s="2">
        <v>0.41666666666666669</v>
      </c>
      <c r="E655">
        <v>20386.240000000002</v>
      </c>
      <c r="F655" s="2">
        <v>0.41805555555555557</v>
      </c>
      <c r="G655">
        <v>20350.57</v>
      </c>
      <c r="H655">
        <v>20400.509999999998</v>
      </c>
      <c r="I655">
        <v>20350.57</v>
      </c>
      <c r="J655" t="s">
        <v>14</v>
      </c>
      <c r="K655">
        <v>35.68</v>
      </c>
      <c r="L655" s="9">
        <v>2.5</v>
      </c>
      <c r="M655">
        <v>1</v>
      </c>
      <c r="N655">
        <f t="shared" si="20"/>
        <v>0</v>
      </c>
      <c r="O655">
        <f t="shared" si="21"/>
        <v>2</v>
      </c>
    </row>
    <row r="656" spans="1:15" x14ac:dyDescent="0.2">
      <c r="A656" s="1">
        <v>45489</v>
      </c>
      <c r="B656">
        <v>2</v>
      </c>
      <c r="C656" t="s">
        <v>16</v>
      </c>
      <c r="D656" s="2">
        <v>0.44722222222222224</v>
      </c>
      <c r="E656">
        <v>20359.009999999998</v>
      </c>
      <c r="F656" s="2">
        <v>0.45347222222222222</v>
      </c>
      <c r="G656">
        <v>20344.759999999998</v>
      </c>
      <c r="H656">
        <v>20344.759999999998</v>
      </c>
      <c r="I656">
        <v>20394.64</v>
      </c>
      <c r="J656" t="s">
        <v>15</v>
      </c>
      <c r="K656">
        <v>-14.25</v>
      </c>
      <c r="L656" s="9">
        <v>-1</v>
      </c>
      <c r="M656">
        <v>0</v>
      </c>
      <c r="N656">
        <f t="shared" si="20"/>
        <v>1</v>
      </c>
      <c r="O656">
        <f t="shared" si="21"/>
        <v>0</v>
      </c>
    </row>
    <row r="657" spans="1:15" x14ac:dyDescent="0.2">
      <c r="A657" s="1">
        <v>45490</v>
      </c>
      <c r="B657">
        <v>3</v>
      </c>
      <c r="C657" t="s">
        <v>13</v>
      </c>
      <c r="D657" s="2">
        <v>0.39652777777777776</v>
      </c>
      <c r="E657">
        <v>20061.64</v>
      </c>
      <c r="F657" s="2">
        <v>0.4</v>
      </c>
      <c r="G657">
        <v>20075.68</v>
      </c>
      <c r="H657">
        <v>20075.68</v>
      </c>
      <c r="I657">
        <v>20026.53</v>
      </c>
      <c r="J657" t="s">
        <v>15</v>
      </c>
      <c r="K657">
        <v>-14.04</v>
      </c>
      <c r="L657" s="9">
        <v>-1</v>
      </c>
      <c r="M657">
        <v>0</v>
      </c>
      <c r="N657">
        <f t="shared" si="20"/>
        <v>2</v>
      </c>
      <c r="O657">
        <f t="shared" si="21"/>
        <v>0</v>
      </c>
    </row>
    <row r="658" spans="1:15" x14ac:dyDescent="0.2">
      <c r="A658" s="1">
        <v>45491</v>
      </c>
      <c r="B658">
        <v>4</v>
      </c>
      <c r="C658" t="s">
        <v>13</v>
      </c>
      <c r="D658" s="2">
        <v>0.39861111111111114</v>
      </c>
      <c r="E658">
        <v>19925.509999999998</v>
      </c>
      <c r="F658" s="2">
        <v>0.40277777777777779</v>
      </c>
      <c r="G658">
        <v>19890.64</v>
      </c>
      <c r="H658">
        <v>19939.46</v>
      </c>
      <c r="I658">
        <v>19890.64</v>
      </c>
      <c r="J658" t="s">
        <v>14</v>
      </c>
      <c r="K658">
        <v>34.869999999999997</v>
      </c>
      <c r="L658" s="9">
        <v>2.5</v>
      </c>
      <c r="M658">
        <v>1</v>
      </c>
      <c r="N658">
        <f t="shared" si="20"/>
        <v>0</v>
      </c>
      <c r="O658">
        <f t="shared" si="21"/>
        <v>1</v>
      </c>
    </row>
    <row r="659" spans="1:15" x14ac:dyDescent="0.2">
      <c r="A659" s="1">
        <v>45491</v>
      </c>
      <c r="B659">
        <v>4</v>
      </c>
      <c r="C659" t="s">
        <v>13</v>
      </c>
      <c r="D659" s="2">
        <v>0.44236111111111109</v>
      </c>
      <c r="E659">
        <v>19771.810000000001</v>
      </c>
      <c r="F659" s="2">
        <v>0.44305555555555554</v>
      </c>
      <c r="G659">
        <v>19785.650000000001</v>
      </c>
      <c r="H659">
        <v>19785.650000000001</v>
      </c>
      <c r="I659">
        <v>19737.21</v>
      </c>
      <c r="J659" t="s">
        <v>15</v>
      </c>
      <c r="K659">
        <v>-13.84</v>
      </c>
      <c r="L659" s="9">
        <v>-1</v>
      </c>
      <c r="M659">
        <v>0</v>
      </c>
      <c r="N659">
        <f t="shared" si="20"/>
        <v>1</v>
      </c>
      <c r="O659">
        <f t="shared" si="21"/>
        <v>0</v>
      </c>
    </row>
    <row r="660" spans="1:15" x14ac:dyDescent="0.2">
      <c r="A660" s="1">
        <v>45492</v>
      </c>
      <c r="B660">
        <v>5</v>
      </c>
      <c r="C660" t="s">
        <v>13</v>
      </c>
      <c r="D660" s="2">
        <v>0.39583333333333331</v>
      </c>
      <c r="E660">
        <v>19696.72</v>
      </c>
      <c r="F660" s="2">
        <v>0.39652777777777776</v>
      </c>
      <c r="G660">
        <v>19662.25</v>
      </c>
      <c r="H660">
        <v>19710.509999999998</v>
      </c>
      <c r="I660">
        <v>19662.25</v>
      </c>
      <c r="J660" t="s">
        <v>14</v>
      </c>
      <c r="K660">
        <v>34.47</v>
      </c>
      <c r="L660" s="9">
        <v>2.5</v>
      </c>
      <c r="M660">
        <v>1</v>
      </c>
      <c r="N660">
        <f t="shared" si="20"/>
        <v>0</v>
      </c>
      <c r="O660">
        <f t="shared" si="21"/>
        <v>1</v>
      </c>
    </row>
    <row r="661" spans="1:15" x14ac:dyDescent="0.2">
      <c r="A661" s="1">
        <v>45492</v>
      </c>
      <c r="B661">
        <v>5</v>
      </c>
      <c r="C661" t="s">
        <v>13</v>
      </c>
      <c r="D661" s="2">
        <v>0.43263888888888891</v>
      </c>
      <c r="E661">
        <v>19692.189999999999</v>
      </c>
      <c r="F661" s="2">
        <v>0.43541666666666667</v>
      </c>
      <c r="G661">
        <v>19657.73</v>
      </c>
      <c r="H661">
        <v>19705.98</v>
      </c>
      <c r="I661">
        <v>19657.73</v>
      </c>
      <c r="J661" t="s">
        <v>14</v>
      </c>
      <c r="K661">
        <v>34.46</v>
      </c>
      <c r="L661" s="9">
        <v>2.5</v>
      </c>
      <c r="M661">
        <v>1</v>
      </c>
      <c r="N661">
        <f t="shared" si="20"/>
        <v>0</v>
      </c>
      <c r="O661">
        <f t="shared" si="21"/>
        <v>2</v>
      </c>
    </row>
    <row r="662" spans="1:15" x14ac:dyDescent="0.2">
      <c r="A662" s="1">
        <v>45495</v>
      </c>
      <c r="B662">
        <v>1</v>
      </c>
      <c r="C662" t="s">
        <v>16</v>
      </c>
      <c r="D662" s="2">
        <v>0.41041666666666665</v>
      </c>
      <c r="E662">
        <v>19826.21</v>
      </c>
      <c r="F662" s="2">
        <v>0.41111111111111109</v>
      </c>
      <c r="G662">
        <v>19812.330000000002</v>
      </c>
      <c r="H662">
        <v>19812.330000000002</v>
      </c>
      <c r="I662">
        <v>19860.900000000001</v>
      </c>
      <c r="J662" t="s">
        <v>15</v>
      </c>
      <c r="K662">
        <v>-13.88</v>
      </c>
      <c r="L662" s="9">
        <v>-1</v>
      </c>
      <c r="M662">
        <v>0</v>
      </c>
      <c r="N662">
        <f t="shared" si="20"/>
        <v>1</v>
      </c>
      <c r="O662">
        <f t="shared" si="21"/>
        <v>0</v>
      </c>
    </row>
    <row r="663" spans="1:15" x14ac:dyDescent="0.2">
      <c r="A663" s="1">
        <v>45495</v>
      </c>
      <c r="B663">
        <v>1</v>
      </c>
      <c r="C663" t="s">
        <v>13</v>
      </c>
      <c r="D663" s="2">
        <v>0.42499999999999999</v>
      </c>
      <c r="E663">
        <v>19728.79</v>
      </c>
      <c r="F663" s="2">
        <v>0.42569444444444443</v>
      </c>
      <c r="G663">
        <v>19742.599999999999</v>
      </c>
      <c r="H663">
        <v>19742.599999999999</v>
      </c>
      <c r="I663">
        <v>19694.259999999998</v>
      </c>
      <c r="J663" t="s">
        <v>15</v>
      </c>
      <c r="K663">
        <v>-13.81</v>
      </c>
      <c r="L663" s="9">
        <v>-1</v>
      </c>
      <c r="M663">
        <v>0</v>
      </c>
      <c r="N663">
        <f t="shared" si="20"/>
        <v>2</v>
      </c>
      <c r="O663">
        <f t="shared" si="21"/>
        <v>0</v>
      </c>
    </row>
    <row r="664" spans="1:15" x14ac:dyDescent="0.2">
      <c r="A664" s="1">
        <v>45495</v>
      </c>
      <c r="B664">
        <v>1</v>
      </c>
      <c r="C664" t="s">
        <v>16</v>
      </c>
      <c r="D664" s="2">
        <v>0.44583333333333336</v>
      </c>
      <c r="E664">
        <v>19810.79</v>
      </c>
      <c r="F664" s="2">
        <v>0.4513888888888889</v>
      </c>
      <c r="G664">
        <v>19796.919999999998</v>
      </c>
      <c r="H664">
        <v>19796.919999999998</v>
      </c>
      <c r="I664">
        <v>19845.45</v>
      </c>
      <c r="J664" t="s">
        <v>15</v>
      </c>
      <c r="K664">
        <v>-13.87</v>
      </c>
      <c r="L664" s="9">
        <v>-1</v>
      </c>
      <c r="M664">
        <v>0</v>
      </c>
      <c r="N664">
        <f t="shared" si="20"/>
        <v>3</v>
      </c>
      <c r="O664">
        <f t="shared" si="21"/>
        <v>0</v>
      </c>
    </row>
    <row r="665" spans="1:15" x14ac:dyDescent="0.2">
      <c r="A665" s="1">
        <v>45496</v>
      </c>
      <c r="B665">
        <v>2</v>
      </c>
      <c r="C665" t="s">
        <v>16</v>
      </c>
      <c r="D665" s="2">
        <v>0.40625</v>
      </c>
      <c r="E665">
        <v>19837.89</v>
      </c>
      <c r="F665" s="2">
        <v>0.40763888888888888</v>
      </c>
      <c r="G665">
        <v>19824</v>
      </c>
      <c r="H665">
        <v>19824</v>
      </c>
      <c r="I665">
        <v>19872.599999999999</v>
      </c>
      <c r="J665" t="s">
        <v>15</v>
      </c>
      <c r="K665">
        <v>-13.89</v>
      </c>
      <c r="L665" s="9">
        <v>-1</v>
      </c>
      <c r="M665">
        <v>0</v>
      </c>
      <c r="N665">
        <f t="shared" si="20"/>
        <v>4</v>
      </c>
      <c r="O665">
        <f t="shared" si="21"/>
        <v>0</v>
      </c>
    </row>
    <row r="666" spans="1:15" x14ac:dyDescent="0.2">
      <c r="A666" s="1">
        <v>45496</v>
      </c>
      <c r="B666">
        <v>2</v>
      </c>
      <c r="C666" t="s">
        <v>16</v>
      </c>
      <c r="D666" s="2">
        <v>0.43333333333333335</v>
      </c>
      <c r="E666">
        <v>19857.55</v>
      </c>
      <c r="F666" s="2">
        <v>0.43402777777777779</v>
      </c>
      <c r="G666">
        <v>19843.650000000001</v>
      </c>
      <c r="H666">
        <v>19843.650000000001</v>
      </c>
      <c r="I666">
        <v>19892.3</v>
      </c>
      <c r="J666" t="s">
        <v>15</v>
      </c>
      <c r="K666">
        <v>-13.9</v>
      </c>
      <c r="L666" s="9">
        <v>-1</v>
      </c>
      <c r="M666">
        <v>0</v>
      </c>
      <c r="N666">
        <f t="shared" si="20"/>
        <v>5</v>
      </c>
      <c r="O666">
        <f t="shared" si="21"/>
        <v>0</v>
      </c>
    </row>
    <row r="667" spans="1:15" x14ac:dyDescent="0.2">
      <c r="A667" s="1">
        <v>45496</v>
      </c>
      <c r="B667">
        <v>2</v>
      </c>
      <c r="C667" t="s">
        <v>13</v>
      </c>
      <c r="D667" s="2">
        <v>0.4513888888888889</v>
      </c>
      <c r="E667">
        <v>19781.55</v>
      </c>
      <c r="F667" s="2">
        <v>0.45624999999999999</v>
      </c>
      <c r="G667">
        <v>19795.400000000001</v>
      </c>
      <c r="H667">
        <v>19795.400000000001</v>
      </c>
      <c r="I667">
        <v>19746.93</v>
      </c>
      <c r="J667" t="s">
        <v>15</v>
      </c>
      <c r="K667">
        <v>-13.85</v>
      </c>
      <c r="L667" s="9">
        <v>-1</v>
      </c>
      <c r="M667">
        <v>0</v>
      </c>
      <c r="N667">
        <f t="shared" si="20"/>
        <v>6</v>
      </c>
      <c r="O667">
        <f t="shared" si="21"/>
        <v>0</v>
      </c>
    </row>
    <row r="668" spans="1:15" x14ac:dyDescent="0.2">
      <c r="A668" s="1">
        <v>45498</v>
      </c>
      <c r="B668">
        <v>4</v>
      </c>
      <c r="C668" t="s">
        <v>13</v>
      </c>
      <c r="D668" s="2">
        <v>0.40833333333333333</v>
      </c>
      <c r="E668">
        <v>18976.23</v>
      </c>
      <c r="F668" s="2">
        <v>0.41249999999999998</v>
      </c>
      <c r="G668">
        <v>18943.03</v>
      </c>
      <c r="H668">
        <v>18989.52</v>
      </c>
      <c r="I668">
        <v>18943.03</v>
      </c>
      <c r="J668" t="s">
        <v>14</v>
      </c>
      <c r="K668">
        <v>33.21</v>
      </c>
      <c r="L668" s="9">
        <v>2.5</v>
      </c>
      <c r="M668">
        <v>1</v>
      </c>
      <c r="N668">
        <f t="shared" si="20"/>
        <v>0</v>
      </c>
      <c r="O668">
        <f t="shared" si="21"/>
        <v>1</v>
      </c>
    </row>
    <row r="669" spans="1:15" x14ac:dyDescent="0.2">
      <c r="A669" s="1">
        <v>45498</v>
      </c>
      <c r="B669">
        <v>4</v>
      </c>
      <c r="C669" t="s">
        <v>16</v>
      </c>
      <c r="D669" s="2">
        <v>0.43958333333333333</v>
      </c>
      <c r="E669">
        <v>18909.97</v>
      </c>
      <c r="F669" s="2">
        <v>0.44027777777777777</v>
      </c>
      <c r="G669">
        <v>18896.73</v>
      </c>
      <c r="H669">
        <v>18896.73</v>
      </c>
      <c r="I669">
        <v>18943.060000000001</v>
      </c>
      <c r="J669" t="s">
        <v>15</v>
      </c>
      <c r="K669">
        <v>-13.24</v>
      </c>
      <c r="L669" s="9">
        <v>-1</v>
      </c>
      <c r="M669">
        <v>0</v>
      </c>
      <c r="N669">
        <f t="shared" si="20"/>
        <v>1</v>
      </c>
      <c r="O669">
        <f t="shared" si="21"/>
        <v>0</v>
      </c>
    </row>
    <row r="670" spans="1:15" x14ac:dyDescent="0.2">
      <c r="A670" s="1">
        <v>45499</v>
      </c>
      <c r="B670">
        <v>5</v>
      </c>
      <c r="C670" t="s">
        <v>13</v>
      </c>
      <c r="D670" s="2">
        <v>0.41041666666666665</v>
      </c>
      <c r="E670">
        <v>18938.72</v>
      </c>
      <c r="F670" s="2">
        <v>0.41111111111111109</v>
      </c>
      <c r="G670">
        <v>18951.98</v>
      </c>
      <c r="H670">
        <v>18951.98</v>
      </c>
      <c r="I670">
        <v>18905.580000000002</v>
      </c>
      <c r="J670" t="s">
        <v>15</v>
      </c>
      <c r="K670">
        <v>-13.26</v>
      </c>
      <c r="L670" s="9">
        <v>-1</v>
      </c>
      <c r="M670">
        <v>0</v>
      </c>
      <c r="N670">
        <f t="shared" si="20"/>
        <v>2</v>
      </c>
      <c r="O670">
        <f t="shared" si="21"/>
        <v>0</v>
      </c>
    </row>
    <row r="671" spans="1:15" x14ac:dyDescent="0.2">
      <c r="A671" s="1">
        <v>45499</v>
      </c>
      <c r="B671">
        <v>5</v>
      </c>
      <c r="C671" t="s">
        <v>13</v>
      </c>
      <c r="D671" s="2">
        <v>0.44513888888888886</v>
      </c>
      <c r="E671">
        <v>18927.84</v>
      </c>
      <c r="F671" s="2">
        <v>0.44583333333333336</v>
      </c>
      <c r="G671">
        <v>18941.09</v>
      </c>
      <c r="H671">
        <v>18941.09</v>
      </c>
      <c r="I671">
        <v>18894.72</v>
      </c>
      <c r="J671" t="s">
        <v>15</v>
      </c>
      <c r="K671">
        <v>-13.25</v>
      </c>
      <c r="L671" s="9">
        <v>-1</v>
      </c>
      <c r="M671">
        <v>0</v>
      </c>
      <c r="N671">
        <f t="shared" si="20"/>
        <v>3</v>
      </c>
      <c r="O671">
        <f t="shared" si="21"/>
        <v>0</v>
      </c>
    </row>
    <row r="672" spans="1:15" x14ac:dyDescent="0.2">
      <c r="A672" s="1">
        <v>45502</v>
      </c>
      <c r="B672">
        <v>1</v>
      </c>
      <c r="C672" t="s">
        <v>16</v>
      </c>
      <c r="D672" s="2">
        <v>0.40833333333333333</v>
      </c>
      <c r="E672">
        <v>19189.21</v>
      </c>
      <c r="F672" s="2">
        <v>0.40902777777777777</v>
      </c>
      <c r="G672">
        <v>19175.78</v>
      </c>
      <c r="H672">
        <v>19175.78</v>
      </c>
      <c r="I672">
        <v>19222.8</v>
      </c>
      <c r="J672" t="s">
        <v>15</v>
      </c>
      <c r="K672">
        <v>-13.43</v>
      </c>
      <c r="L672" s="9">
        <v>-1</v>
      </c>
      <c r="M672">
        <v>0</v>
      </c>
      <c r="N672">
        <f t="shared" si="20"/>
        <v>4</v>
      </c>
      <c r="O672">
        <f t="shared" si="21"/>
        <v>0</v>
      </c>
    </row>
    <row r="673" spans="1:15" x14ac:dyDescent="0.2">
      <c r="A673" s="1">
        <v>45502</v>
      </c>
      <c r="B673">
        <v>1</v>
      </c>
      <c r="C673" t="s">
        <v>13</v>
      </c>
      <c r="D673" s="2">
        <v>0.44097222222222221</v>
      </c>
      <c r="E673">
        <v>19123.45</v>
      </c>
      <c r="F673" s="2">
        <v>0.44166666666666665</v>
      </c>
      <c r="G673">
        <v>19136.84</v>
      </c>
      <c r="H673">
        <v>19136.84</v>
      </c>
      <c r="I673">
        <v>19089.990000000002</v>
      </c>
      <c r="J673" t="s">
        <v>15</v>
      </c>
      <c r="K673">
        <v>-13.39</v>
      </c>
      <c r="L673" s="9">
        <v>-1</v>
      </c>
      <c r="M673">
        <v>0</v>
      </c>
      <c r="N673">
        <f t="shared" si="20"/>
        <v>5</v>
      </c>
      <c r="O673">
        <f t="shared" si="21"/>
        <v>0</v>
      </c>
    </row>
    <row r="674" spans="1:15" x14ac:dyDescent="0.2">
      <c r="A674" s="1">
        <v>45506</v>
      </c>
      <c r="B674">
        <v>5</v>
      </c>
      <c r="C674" t="s">
        <v>13</v>
      </c>
      <c r="D674" s="2">
        <v>0.42569444444444443</v>
      </c>
      <c r="E674">
        <v>18318.580000000002</v>
      </c>
      <c r="F674" s="2">
        <v>0.42638888888888887</v>
      </c>
      <c r="G674">
        <v>18286.53</v>
      </c>
      <c r="H674">
        <v>18331.41</v>
      </c>
      <c r="I674">
        <v>18286.53</v>
      </c>
      <c r="J674" t="s">
        <v>14</v>
      </c>
      <c r="K674">
        <v>32.06</v>
      </c>
      <c r="L674" s="9">
        <v>2.5</v>
      </c>
      <c r="M674">
        <v>1</v>
      </c>
      <c r="N674">
        <f t="shared" si="20"/>
        <v>0</v>
      </c>
      <c r="O674">
        <f t="shared" si="21"/>
        <v>1</v>
      </c>
    </row>
    <row r="675" spans="1:15" x14ac:dyDescent="0.2">
      <c r="A675" s="1">
        <v>45509</v>
      </c>
      <c r="B675">
        <v>1</v>
      </c>
      <c r="C675" t="s">
        <v>16</v>
      </c>
      <c r="D675" s="2">
        <v>0.40972222222222221</v>
      </c>
      <c r="E675">
        <v>17775.310000000001</v>
      </c>
      <c r="F675" s="2">
        <v>0.41041666666666665</v>
      </c>
      <c r="G675">
        <v>17806.419999999998</v>
      </c>
      <c r="H675">
        <v>17762.87</v>
      </c>
      <c r="I675">
        <v>17806.419999999998</v>
      </c>
      <c r="J675" t="s">
        <v>14</v>
      </c>
      <c r="K675">
        <v>31.11</v>
      </c>
      <c r="L675" s="9">
        <v>2.5</v>
      </c>
      <c r="M675">
        <v>1</v>
      </c>
      <c r="N675">
        <f t="shared" si="20"/>
        <v>0</v>
      </c>
      <c r="O675">
        <f t="shared" si="21"/>
        <v>2</v>
      </c>
    </row>
    <row r="676" spans="1:15" x14ac:dyDescent="0.2">
      <c r="A676" s="1">
        <v>45510</v>
      </c>
      <c r="B676">
        <v>2</v>
      </c>
      <c r="C676" t="s">
        <v>13</v>
      </c>
      <c r="D676" s="2">
        <v>0.40694444444444444</v>
      </c>
      <c r="E676">
        <v>17891.099999999999</v>
      </c>
      <c r="F676" s="2">
        <v>0.40763888888888888</v>
      </c>
      <c r="G676">
        <v>17903.63</v>
      </c>
      <c r="H676">
        <v>17903.63</v>
      </c>
      <c r="I676">
        <v>17859.79</v>
      </c>
      <c r="J676" t="s">
        <v>15</v>
      </c>
      <c r="K676">
        <v>-12.52</v>
      </c>
      <c r="L676" s="9">
        <v>-1</v>
      </c>
      <c r="M676">
        <v>0</v>
      </c>
      <c r="N676">
        <f t="shared" si="20"/>
        <v>1</v>
      </c>
      <c r="O676">
        <f t="shared" si="21"/>
        <v>0</v>
      </c>
    </row>
    <row r="677" spans="1:15" x14ac:dyDescent="0.2">
      <c r="A677" s="1">
        <v>45510</v>
      </c>
      <c r="B677">
        <v>2</v>
      </c>
      <c r="C677" t="s">
        <v>16</v>
      </c>
      <c r="D677" s="2">
        <v>0.42152777777777778</v>
      </c>
      <c r="E677">
        <v>18052.41</v>
      </c>
      <c r="F677" s="2">
        <v>0.42222222222222222</v>
      </c>
      <c r="G677">
        <v>18084</v>
      </c>
      <c r="H677">
        <v>18039.77</v>
      </c>
      <c r="I677">
        <v>18084</v>
      </c>
      <c r="J677" t="s">
        <v>14</v>
      </c>
      <c r="K677">
        <v>31.59</v>
      </c>
      <c r="L677" s="9">
        <v>2.5</v>
      </c>
      <c r="M677">
        <v>1</v>
      </c>
      <c r="N677">
        <f t="shared" si="20"/>
        <v>0</v>
      </c>
      <c r="O677">
        <f t="shared" si="21"/>
        <v>1</v>
      </c>
    </row>
    <row r="678" spans="1:15" x14ac:dyDescent="0.2">
      <c r="A678" s="1">
        <v>45510</v>
      </c>
      <c r="B678">
        <v>2</v>
      </c>
      <c r="C678" t="s">
        <v>16</v>
      </c>
      <c r="D678" s="2">
        <v>0.4513888888888889</v>
      </c>
      <c r="E678">
        <v>18193.3</v>
      </c>
      <c r="F678" s="2">
        <v>0.45208333333333334</v>
      </c>
      <c r="G678">
        <v>18180.560000000001</v>
      </c>
      <c r="H678">
        <v>18180.560000000001</v>
      </c>
      <c r="I678">
        <v>18225.14</v>
      </c>
      <c r="J678" t="s">
        <v>15</v>
      </c>
      <c r="K678">
        <v>-12.74</v>
      </c>
      <c r="L678" s="9">
        <v>-1</v>
      </c>
      <c r="M678">
        <v>0</v>
      </c>
      <c r="N678">
        <f t="shared" si="20"/>
        <v>1</v>
      </c>
      <c r="O678">
        <f t="shared" si="21"/>
        <v>0</v>
      </c>
    </row>
    <row r="679" spans="1:15" x14ac:dyDescent="0.2">
      <c r="A679" s="1">
        <v>45511</v>
      </c>
      <c r="B679">
        <v>3</v>
      </c>
      <c r="C679" t="s">
        <v>16</v>
      </c>
      <c r="D679" s="2">
        <v>0.39791666666666664</v>
      </c>
      <c r="E679">
        <v>18365.78</v>
      </c>
      <c r="F679" s="2">
        <v>0.39861111111111114</v>
      </c>
      <c r="G679">
        <v>18352.919999999998</v>
      </c>
      <c r="H679">
        <v>18352.919999999998</v>
      </c>
      <c r="I679">
        <v>18397.919999999998</v>
      </c>
      <c r="J679" t="s">
        <v>15</v>
      </c>
      <c r="K679">
        <v>-12.86</v>
      </c>
      <c r="L679" s="9">
        <v>-1</v>
      </c>
      <c r="M679">
        <v>0</v>
      </c>
      <c r="N679">
        <f t="shared" si="20"/>
        <v>2</v>
      </c>
      <c r="O679">
        <f t="shared" si="21"/>
        <v>0</v>
      </c>
    </row>
    <row r="680" spans="1:15" x14ac:dyDescent="0.2">
      <c r="A680" s="1">
        <v>45511</v>
      </c>
      <c r="B680">
        <v>3</v>
      </c>
      <c r="C680" t="s">
        <v>13</v>
      </c>
      <c r="D680" s="2">
        <v>0.4375</v>
      </c>
      <c r="E680">
        <v>18332.7</v>
      </c>
      <c r="F680" s="2">
        <v>0.43888888888888888</v>
      </c>
      <c r="G680">
        <v>18345.53</v>
      </c>
      <c r="H680">
        <v>18345.53</v>
      </c>
      <c r="I680">
        <v>18300.62</v>
      </c>
      <c r="J680" t="s">
        <v>15</v>
      </c>
      <c r="K680">
        <v>-12.83</v>
      </c>
      <c r="L680" s="9">
        <v>-1</v>
      </c>
      <c r="M680">
        <v>0</v>
      </c>
      <c r="N680">
        <f t="shared" si="20"/>
        <v>3</v>
      </c>
      <c r="O680">
        <f t="shared" si="21"/>
        <v>0</v>
      </c>
    </row>
    <row r="681" spans="1:15" x14ac:dyDescent="0.2">
      <c r="A681" s="1">
        <v>45511</v>
      </c>
      <c r="B681">
        <v>3</v>
      </c>
      <c r="C681" t="s">
        <v>16</v>
      </c>
      <c r="D681" s="2">
        <v>0.45277777777777778</v>
      </c>
      <c r="E681">
        <v>18422.12</v>
      </c>
      <c r="F681" s="2">
        <v>0.45416666666666666</v>
      </c>
      <c r="G681">
        <v>18409.23</v>
      </c>
      <c r="H681">
        <v>18409.23</v>
      </c>
      <c r="I681">
        <v>18454.36</v>
      </c>
      <c r="J681" t="s">
        <v>15</v>
      </c>
      <c r="K681">
        <v>-12.9</v>
      </c>
      <c r="L681" s="9">
        <v>-1</v>
      </c>
      <c r="M681">
        <v>0</v>
      </c>
      <c r="N681">
        <f t="shared" si="20"/>
        <v>4</v>
      </c>
      <c r="O681">
        <f t="shared" si="21"/>
        <v>0</v>
      </c>
    </row>
    <row r="682" spans="1:15" x14ac:dyDescent="0.2">
      <c r="A682" s="1">
        <v>45512</v>
      </c>
      <c r="B682">
        <v>4</v>
      </c>
      <c r="C682" t="s">
        <v>13</v>
      </c>
      <c r="D682" s="2">
        <v>0.40763888888888888</v>
      </c>
      <c r="E682">
        <v>18038.849999999999</v>
      </c>
      <c r="F682" s="2">
        <v>0.40833333333333333</v>
      </c>
      <c r="G682">
        <v>18007.28</v>
      </c>
      <c r="H682">
        <v>18051.47</v>
      </c>
      <c r="I682">
        <v>18007.28</v>
      </c>
      <c r="J682" t="s">
        <v>14</v>
      </c>
      <c r="K682">
        <v>31.57</v>
      </c>
      <c r="L682" s="9">
        <v>2.5</v>
      </c>
      <c r="M682">
        <v>1</v>
      </c>
      <c r="N682">
        <f t="shared" si="20"/>
        <v>0</v>
      </c>
      <c r="O682">
        <f t="shared" si="21"/>
        <v>1</v>
      </c>
    </row>
    <row r="683" spans="1:15" x14ac:dyDescent="0.2">
      <c r="A683" s="1">
        <v>45512</v>
      </c>
      <c r="B683">
        <v>4</v>
      </c>
      <c r="C683" t="s">
        <v>16</v>
      </c>
      <c r="D683" s="2">
        <v>0.42916666666666664</v>
      </c>
      <c r="E683">
        <v>18215.18</v>
      </c>
      <c r="F683" s="2">
        <v>0.43055555555555558</v>
      </c>
      <c r="G683">
        <v>18202.43</v>
      </c>
      <c r="H683">
        <v>18202.43</v>
      </c>
      <c r="I683">
        <v>18247.060000000001</v>
      </c>
      <c r="J683" t="s">
        <v>15</v>
      </c>
      <c r="K683">
        <v>-12.75</v>
      </c>
      <c r="L683" s="9">
        <v>-1</v>
      </c>
      <c r="M683">
        <v>0</v>
      </c>
      <c r="N683">
        <f t="shared" si="20"/>
        <v>1</v>
      </c>
      <c r="O683">
        <f t="shared" si="21"/>
        <v>0</v>
      </c>
    </row>
    <row r="684" spans="1:15" x14ac:dyDescent="0.2">
      <c r="A684" s="1">
        <v>45513</v>
      </c>
      <c r="B684">
        <v>5</v>
      </c>
      <c r="C684" t="s">
        <v>16</v>
      </c>
      <c r="D684" s="2">
        <v>0.39930555555555558</v>
      </c>
      <c r="E684">
        <v>18375.96</v>
      </c>
      <c r="F684" s="2">
        <v>0.40138888888888891</v>
      </c>
      <c r="G684">
        <v>18408.12</v>
      </c>
      <c r="H684">
        <v>18363.099999999999</v>
      </c>
      <c r="I684">
        <v>18408.12</v>
      </c>
      <c r="J684" t="s">
        <v>14</v>
      </c>
      <c r="K684">
        <v>32.159999999999997</v>
      </c>
      <c r="L684" s="9">
        <v>2.5</v>
      </c>
      <c r="M684">
        <v>1</v>
      </c>
      <c r="N684">
        <f t="shared" si="20"/>
        <v>0</v>
      </c>
      <c r="O684">
        <f t="shared" si="21"/>
        <v>1</v>
      </c>
    </row>
    <row r="685" spans="1:15" x14ac:dyDescent="0.2">
      <c r="A685" s="1">
        <v>45513</v>
      </c>
      <c r="B685">
        <v>5</v>
      </c>
      <c r="C685" t="s">
        <v>16</v>
      </c>
      <c r="D685" s="2">
        <v>0.42708333333333331</v>
      </c>
      <c r="E685">
        <v>18440.57</v>
      </c>
      <c r="F685" s="2">
        <v>0.42777777777777776</v>
      </c>
      <c r="G685">
        <v>18427.66</v>
      </c>
      <c r="H685">
        <v>18427.66</v>
      </c>
      <c r="I685">
        <v>18472.84</v>
      </c>
      <c r="J685" t="s">
        <v>15</v>
      </c>
      <c r="K685">
        <v>-12.91</v>
      </c>
      <c r="L685" s="9">
        <v>-1</v>
      </c>
      <c r="M685">
        <v>0</v>
      </c>
      <c r="N685">
        <f t="shared" si="20"/>
        <v>1</v>
      </c>
      <c r="O685">
        <f t="shared" si="21"/>
        <v>0</v>
      </c>
    </row>
    <row r="686" spans="1:15" x14ac:dyDescent="0.2">
      <c r="A686" s="1">
        <v>45513</v>
      </c>
      <c r="B686">
        <v>5</v>
      </c>
      <c r="C686" t="s">
        <v>16</v>
      </c>
      <c r="D686" s="2">
        <v>0.45694444444444443</v>
      </c>
      <c r="E686">
        <v>18441.57</v>
      </c>
      <c r="F686" s="2">
        <v>0.45763888888888887</v>
      </c>
      <c r="G686">
        <v>18428.66</v>
      </c>
      <c r="H686">
        <v>18428.66</v>
      </c>
      <c r="I686">
        <v>18473.84</v>
      </c>
      <c r="J686" t="s">
        <v>15</v>
      </c>
      <c r="K686">
        <v>-12.91</v>
      </c>
      <c r="L686" s="9">
        <v>-1</v>
      </c>
      <c r="M686">
        <v>0</v>
      </c>
      <c r="N686">
        <f t="shared" si="20"/>
        <v>2</v>
      </c>
      <c r="O686">
        <f t="shared" si="21"/>
        <v>0</v>
      </c>
    </row>
    <row r="687" spans="1:15" x14ac:dyDescent="0.2">
      <c r="A687" s="1">
        <v>45516</v>
      </c>
      <c r="B687">
        <v>1</v>
      </c>
      <c r="C687" t="s">
        <v>13</v>
      </c>
      <c r="D687" s="2">
        <v>0.40833333333333333</v>
      </c>
      <c r="E687">
        <v>18464.14</v>
      </c>
      <c r="F687" s="2">
        <v>0.40972222222222221</v>
      </c>
      <c r="G687">
        <v>18477.07</v>
      </c>
      <c r="H687">
        <v>18477.07</v>
      </c>
      <c r="I687">
        <v>18431.830000000002</v>
      </c>
      <c r="J687" t="s">
        <v>15</v>
      </c>
      <c r="K687">
        <v>-12.92</v>
      </c>
      <c r="L687" s="9">
        <v>-1</v>
      </c>
      <c r="M687">
        <v>0</v>
      </c>
      <c r="N687">
        <f t="shared" si="20"/>
        <v>3</v>
      </c>
      <c r="O687">
        <f t="shared" si="21"/>
        <v>0</v>
      </c>
    </row>
    <row r="688" spans="1:15" x14ac:dyDescent="0.2">
      <c r="A688" s="1">
        <v>45516</v>
      </c>
      <c r="B688">
        <v>1</v>
      </c>
      <c r="C688" t="s">
        <v>16</v>
      </c>
      <c r="D688" s="2">
        <v>0.4284722222222222</v>
      </c>
      <c r="E688">
        <v>18557.259999999998</v>
      </c>
      <c r="F688" s="2">
        <v>0.43125000000000002</v>
      </c>
      <c r="G688">
        <v>18589.740000000002</v>
      </c>
      <c r="H688">
        <v>18544.27</v>
      </c>
      <c r="I688">
        <v>18589.740000000002</v>
      </c>
      <c r="J688" t="s">
        <v>14</v>
      </c>
      <c r="K688">
        <v>32.479999999999997</v>
      </c>
      <c r="L688" s="9">
        <v>2.5</v>
      </c>
      <c r="M688">
        <v>1</v>
      </c>
      <c r="N688">
        <f t="shared" si="20"/>
        <v>0</v>
      </c>
      <c r="O688">
        <f t="shared" si="21"/>
        <v>1</v>
      </c>
    </row>
    <row r="689" spans="1:15" x14ac:dyDescent="0.2">
      <c r="A689" s="1">
        <v>45517</v>
      </c>
      <c r="B689">
        <v>2</v>
      </c>
      <c r="C689" t="s">
        <v>16</v>
      </c>
      <c r="D689" s="2">
        <v>0.39930555555555558</v>
      </c>
      <c r="E689">
        <v>18761.150000000001</v>
      </c>
      <c r="F689" s="2">
        <v>0.40277777777777779</v>
      </c>
      <c r="G689">
        <v>18748.02</v>
      </c>
      <c r="H689">
        <v>18748.02</v>
      </c>
      <c r="I689">
        <v>18793.98</v>
      </c>
      <c r="J689" t="s">
        <v>15</v>
      </c>
      <c r="K689">
        <v>-13.13</v>
      </c>
      <c r="L689" s="9">
        <v>-1</v>
      </c>
      <c r="M689">
        <v>0</v>
      </c>
      <c r="N689">
        <f t="shared" si="20"/>
        <v>1</v>
      </c>
      <c r="O689">
        <f t="shared" si="21"/>
        <v>0</v>
      </c>
    </row>
    <row r="690" spans="1:15" x14ac:dyDescent="0.2">
      <c r="A690" s="1">
        <v>45517</v>
      </c>
      <c r="B690">
        <v>2</v>
      </c>
      <c r="C690" t="s">
        <v>16</v>
      </c>
      <c r="D690" s="2">
        <v>0.45208333333333334</v>
      </c>
      <c r="E690">
        <v>18838.830000000002</v>
      </c>
      <c r="F690" s="2">
        <v>0.47430555555555554</v>
      </c>
      <c r="G690">
        <v>18871.8</v>
      </c>
      <c r="H690">
        <v>18825.64</v>
      </c>
      <c r="I690">
        <v>18871.8</v>
      </c>
      <c r="J690" t="s">
        <v>14</v>
      </c>
      <c r="K690">
        <v>32.97</v>
      </c>
      <c r="L690" s="9">
        <v>2.5</v>
      </c>
      <c r="M690">
        <v>1</v>
      </c>
      <c r="N690">
        <f t="shared" si="20"/>
        <v>0</v>
      </c>
      <c r="O690">
        <f t="shared" si="21"/>
        <v>1</v>
      </c>
    </row>
    <row r="691" spans="1:15" x14ac:dyDescent="0.2">
      <c r="A691" s="1">
        <v>45518</v>
      </c>
      <c r="B691">
        <v>3</v>
      </c>
      <c r="C691" t="s">
        <v>13</v>
      </c>
      <c r="D691" s="2">
        <v>0.40625</v>
      </c>
      <c r="E691">
        <v>18979.150000000001</v>
      </c>
      <c r="F691" s="2">
        <v>0.40763888888888888</v>
      </c>
      <c r="G691">
        <v>18992.439999999999</v>
      </c>
      <c r="H691">
        <v>18992.439999999999</v>
      </c>
      <c r="I691">
        <v>18945.939999999999</v>
      </c>
      <c r="J691" t="s">
        <v>15</v>
      </c>
      <c r="K691">
        <v>-13.29</v>
      </c>
      <c r="L691" s="9">
        <v>-1</v>
      </c>
      <c r="M691">
        <v>0</v>
      </c>
      <c r="N691">
        <f t="shared" si="20"/>
        <v>1</v>
      </c>
      <c r="O691">
        <f t="shared" si="21"/>
        <v>0</v>
      </c>
    </row>
    <row r="692" spans="1:15" x14ac:dyDescent="0.2">
      <c r="A692" s="1">
        <v>45518</v>
      </c>
      <c r="B692">
        <v>3</v>
      </c>
      <c r="C692" t="s">
        <v>16</v>
      </c>
      <c r="D692" s="2">
        <v>0.45555555555555555</v>
      </c>
      <c r="E692">
        <v>18954.36</v>
      </c>
      <c r="F692" s="2">
        <v>0.46041666666666664</v>
      </c>
      <c r="G692">
        <v>18987.53</v>
      </c>
      <c r="H692">
        <v>18941.099999999999</v>
      </c>
      <c r="I692">
        <v>18987.53</v>
      </c>
      <c r="J692" t="s">
        <v>14</v>
      </c>
      <c r="K692">
        <v>33.17</v>
      </c>
      <c r="L692" s="9">
        <v>2.5</v>
      </c>
      <c r="M692">
        <v>1</v>
      </c>
      <c r="N692">
        <f t="shared" si="20"/>
        <v>0</v>
      </c>
      <c r="O692">
        <f t="shared" si="21"/>
        <v>1</v>
      </c>
    </row>
    <row r="693" spans="1:15" x14ac:dyDescent="0.2">
      <c r="A693" s="1">
        <v>45519</v>
      </c>
      <c r="B693">
        <v>4</v>
      </c>
      <c r="C693" t="s">
        <v>16</v>
      </c>
      <c r="D693" s="2">
        <v>0.3972222222222222</v>
      </c>
      <c r="E693">
        <v>19256.2</v>
      </c>
      <c r="F693" s="2">
        <v>0.39791666666666664</v>
      </c>
      <c r="G693">
        <v>19242.72</v>
      </c>
      <c r="H693">
        <v>19242.72</v>
      </c>
      <c r="I693">
        <v>19289.900000000001</v>
      </c>
      <c r="J693" t="s">
        <v>15</v>
      </c>
      <c r="K693">
        <v>-13.48</v>
      </c>
      <c r="L693" s="9">
        <v>-1</v>
      </c>
      <c r="M693">
        <v>0</v>
      </c>
      <c r="N693">
        <f t="shared" si="20"/>
        <v>1</v>
      </c>
      <c r="O693">
        <f t="shared" si="21"/>
        <v>0</v>
      </c>
    </row>
    <row r="694" spans="1:15" x14ac:dyDescent="0.2">
      <c r="A694" s="1">
        <v>45519</v>
      </c>
      <c r="B694">
        <v>4</v>
      </c>
      <c r="C694" t="s">
        <v>16</v>
      </c>
      <c r="D694" s="2">
        <v>0.43333333333333335</v>
      </c>
      <c r="E694">
        <v>19360.07</v>
      </c>
      <c r="F694" s="2">
        <v>0.44097222222222221</v>
      </c>
      <c r="G694">
        <v>19393.95</v>
      </c>
      <c r="H694">
        <v>19346.52</v>
      </c>
      <c r="I694">
        <v>19393.95</v>
      </c>
      <c r="J694" t="s">
        <v>14</v>
      </c>
      <c r="K694">
        <v>33.880000000000003</v>
      </c>
      <c r="L694" s="9">
        <v>2.5</v>
      </c>
      <c r="M694">
        <v>1</v>
      </c>
      <c r="N694">
        <f t="shared" si="20"/>
        <v>0</v>
      </c>
      <c r="O694">
        <f t="shared" si="21"/>
        <v>1</v>
      </c>
    </row>
    <row r="695" spans="1:15" x14ac:dyDescent="0.2">
      <c r="A695" s="1">
        <v>45520</v>
      </c>
      <c r="B695">
        <v>5</v>
      </c>
      <c r="C695" t="s">
        <v>16</v>
      </c>
      <c r="D695" s="2">
        <v>0.4201388888888889</v>
      </c>
      <c r="E695">
        <v>19439.169999999998</v>
      </c>
      <c r="F695" s="2">
        <v>0.42152777777777778</v>
      </c>
      <c r="G695">
        <v>19473.189999999999</v>
      </c>
      <c r="H695">
        <v>19425.57</v>
      </c>
      <c r="I695">
        <v>19473.189999999999</v>
      </c>
      <c r="J695" t="s">
        <v>14</v>
      </c>
      <c r="K695">
        <v>34.020000000000003</v>
      </c>
      <c r="L695" s="9">
        <v>2.5</v>
      </c>
      <c r="M695">
        <v>1</v>
      </c>
      <c r="N695">
        <f t="shared" si="20"/>
        <v>0</v>
      </c>
      <c r="O695">
        <f t="shared" si="21"/>
        <v>2</v>
      </c>
    </row>
    <row r="696" spans="1:15" x14ac:dyDescent="0.2">
      <c r="A696" s="1">
        <v>45520</v>
      </c>
      <c r="B696">
        <v>5</v>
      </c>
      <c r="C696" t="s">
        <v>13</v>
      </c>
      <c r="D696" s="2">
        <v>0.45208333333333334</v>
      </c>
      <c r="E696">
        <v>19436.03</v>
      </c>
      <c r="F696" s="2">
        <v>0.45277777777777778</v>
      </c>
      <c r="G696">
        <v>19449.64</v>
      </c>
      <c r="H696">
        <v>19449.64</v>
      </c>
      <c r="I696">
        <v>19402.02</v>
      </c>
      <c r="J696" t="s">
        <v>15</v>
      </c>
      <c r="K696">
        <v>-13.61</v>
      </c>
      <c r="L696" s="9">
        <v>-1</v>
      </c>
      <c r="M696">
        <v>0</v>
      </c>
      <c r="N696">
        <f t="shared" si="20"/>
        <v>1</v>
      </c>
      <c r="O696">
        <f t="shared" si="21"/>
        <v>0</v>
      </c>
    </row>
    <row r="697" spans="1:15" x14ac:dyDescent="0.2">
      <c r="A697" s="1">
        <v>45523</v>
      </c>
      <c r="B697">
        <v>1</v>
      </c>
      <c r="C697" t="s">
        <v>13</v>
      </c>
      <c r="D697" s="2">
        <v>0.39652777777777776</v>
      </c>
      <c r="E697">
        <v>19513.39</v>
      </c>
      <c r="F697" s="2">
        <v>0.4</v>
      </c>
      <c r="G697">
        <v>19479.240000000002</v>
      </c>
      <c r="H697">
        <v>19527.05</v>
      </c>
      <c r="I697">
        <v>19479.240000000002</v>
      </c>
      <c r="J697" t="s">
        <v>14</v>
      </c>
      <c r="K697">
        <v>34.15</v>
      </c>
      <c r="L697" s="9">
        <v>2.5</v>
      </c>
      <c r="M697">
        <v>1</v>
      </c>
      <c r="N697">
        <f t="shared" si="20"/>
        <v>0</v>
      </c>
      <c r="O697">
        <f t="shared" si="21"/>
        <v>1</v>
      </c>
    </row>
    <row r="698" spans="1:15" x14ac:dyDescent="0.2">
      <c r="A698" s="1">
        <v>45523</v>
      </c>
      <c r="B698">
        <v>1</v>
      </c>
      <c r="C698" t="s">
        <v>16</v>
      </c>
      <c r="D698" s="2">
        <v>0.4513888888888889</v>
      </c>
      <c r="E698">
        <v>19530.740000000002</v>
      </c>
      <c r="F698" s="2">
        <v>0.45347222222222222</v>
      </c>
      <c r="G698">
        <v>19564.919999999998</v>
      </c>
      <c r="H698">
        <v>19517.07</v>
      </c>
      <c r="I698">
        <v>19564.919999999998</v>
      </c>
      <c r="J698" t="s">
        <v>14</v>
      </c>
      <c r="K698">
        <v>34.18</v>
      </c>
      <c r="L698" s="9">
        <v>2.5</v>
      </c>
      <c r="M698">
        <v>1</v>
      </c>
      <c r="N698">
        <f t="shared" si="20"/>
        <v>0</v>
      </c>
      <c r="O698">
        <f t="shared" si="21"/>
        <v>2</v>
      </c>
    </row>
    <row r="699" spans="1:15" x14ac:dyDescent="0.2">
      <c r="A699" s="1">
        <v>45524</v>
      </c>
      <c r="B699">
        <v>2</v>
      </c>
      <c r="C699" t="s">
        <v>16</v>
      </c>
      <c r="D699" s="2">
        <v>0.41041666666666665</v>
      </c>
      <c r="E699">
        <v>19787.29</v>
      </c>
      <c r="F699" s="2">
        <v>0.41319444444444442</v>
      </c>
      <c r="G699">
        <v>19821.919999999998</v>
      </c>
      <c r="H699">
        <v>19773.439999999999</v>
      </c>
      <c r="I699">
        <v>19821.919999999998</v>
      </c>
      <c r="J699" t="s">
        <v>14</v>
      </c>
      <c r="K699">
        <v>34.630000000000003</v>
      </c>
      <c r="L699" s="9">
        <v>2.5</v>
      </c>
      <c r="M699">
        <v>1</v>
      </c>
      <c r="N699">
        <f t="shared" si="20"/>
        <v>0</v>
      </c>
      <c r="O699">
        <f t="shared" si="21"/>
        <v>3</v>
      </c>
    </row>
    <row r="700" spans="1:15" x14ac:dyDescent="0.2">
      <c r="A700" s="1">
        <v>45524</v>
      </c>
      <c r="B700">
        <v>2</v>
      </c>
      <c r="C700" t="s">
        <v>13</v>
      </c>
      <c r="D700" s="2">
        <v>0.42986111111111114</v>
      </c>
      <c r="E700">
        <v>19739.25</v>
      </c>
      <c r="F700" s="2">
        <v>0.43194444444444446</v>
      </c>
      <c r="G700">
        <v>19753.07</v>
      </c>
      <c r="H700">
        <v>19753.07</v>
      </c>
      <c r="I700">
        <v>19704.71</v>
      </c>
      <c r="J700" t="s">
        <v>15</v>
      </c>
      <c r="K700">
        <v>-13.82</v>
      </c>
      <c r="L700" s="9">
        <v>-1</v>
      </c>
      <c r="M700">
        <v>0</v>
      </c>
      <c r="N700">
        <f t="shared" si="20"/>
        <v>1</v>
      </c>
      <c r="O700">
        <f t="shared" si="21"/>
        <v>0</v>
      </c>
    </row>
    <row r="701" spans="1:15" x14ac:dyDescent="0.2">
      <c r="A701" s="1">
        <v>45525</v>
      </c>
      <c r="B701">
        <v>3</v>
      </c>
      <c r="C701" t="s">
        <v>16</v>
      </c>
      <c r="D701" s="2">
        <v>0.41736111111111113</v>
      </c>
      <c r="E701">
        <v>19797.2</v>
      </c>
      <c r="F701" s="2">
        <v>0.42638888888888887</v>
      </c>
      <c r="G701">
        <v>19783.34</v>
      </c>
      <c r="H701">
        <v>19783.34</v>
      </c>
      <c r="I701">
        <v>19831.84</v>
      </c>
      <c r="J701" t="s">
        <v>15</v>
      </c>
      <c r="K701">
        <v>-13.86</v>
      </c>
      <c r="L701" s="9">
        <v>-1</v>
      </c>
      <c r="M701">
        <v>0</v>
      </c>
      <c r="N701">
        <f t="shared" si="20"/>
        <v>2</v>
      </c>
      <c r="O701">
        <f t="shared" si="21"/>
        <v>0</v>
      </c>
    </row>
    <row r="702" spans="1:15" x14ac:dyDescent="0.2">
      <c r="A702" s="1">
        <v>45525</v>
      </c>
      <c r="B702">
        <v>3</v>
      </c>
      <c r="C702" t="s">
        <v>16</v>
      </c>
      <c r="D702" s="2">
        <v>0.44930555555555557</v>
      </c>
      <c r="E702">
        <v>19880.66</v>
      </c>
      <c r="F702" s="2">
        <v>0.45</v>
      </c>
      <c r="G702">
        <v>19866.75</v>
      </c>
      <c r="H702">
        <v>19866.75</v>
      </c>
      <c r="I702">
        <v>19915.46</v>
      </c>
      <c r="J702" t="s">
        <v>15</v>
      </c>
      <c r="K702">
        <v>-13.92</v>
      </c>
      <c r="L702" s="9">
        <v>-1</v>
      </c>
      <c r="M702">
        <v>0</v>
      </c>
      <c r="N702">
        <f t="shared" si="20"/>
        <v>3</v>
      </c>
      <c r="O702">
        <f t="shared" si="21"/>
        <v>0</v>
      </c>
    </row>
    <row r="703" spans="1:15" x14ac:dyDescent="0.2">
      <c r="A703" s="1">
        <v>45527</v>
      </c>
      <c r="B703">
        <v>5</v>
      </c>
      <c r="C703" t="s">
        <v>13</v>
      </c>
      <c r="D703" s="2">
        <v>0.39930555555555558</v>
      </c>
      <c r="E703">
        <v>19647.080000000002</v>
      </c>
      <c r="F703" s="2">
        <v>0.40277777777777779</v>
      </c>
      <c r="G703">
        <v>19660.830000000002</v>
      </c>
      <c r="H703">
        <v>19660.830000000002</v>
      </c>
      <c r="I703">
        <v>19612.7</v>
      </c>
      <c r="J703" t="s">
        <v>15</v>
      </c>
      <c r="K703">
        <v>-13.75</v>
      </c>
      <c r="L703" s="9">
        <v>-1</v>
      </c>
      <c r="M703">
        <v>0</v>
      </c>
      <c r="N703">
        <f t="shared" si="20"/>
        <v>4</v>
      </c>
      <c r="O703">
        <f t="shared" si="21"/>
        <v>0</v>
      </c>
    </row>
    <row r="704" spans="1:15" x14ac:dyDescent="0.2">
      <c r="A704" s="1">
        <v>45527</v>
      </c>
      <c r="B704">
        <v>5</v>
      </c>
      <c r="C704" t="s">
        <v>16</v>
      </c>
      <c r="D704" s="2">
        <v>0.41944444444444445</v>
      </c>
      <c r="E704">
        <v>19748.099999999999</v>
      </c>
      <c r="F704" s="2">
        <v>0.4201388888888889</v>
      </c>
      <c r="G704">
        <v>19734.28</v>
      </c>
      <c r="H704">
        <v>19734.28</v>
      </c>
      <c r="I704">
        <v>19782.66</v>
      </c>
      <c r="J704" t="s">
        <v>15</v>
      </c>
      <c r="K704">
        <v>-13.82</v>
      </c>
      <c r="L704" s="9">
        <v>-1</v>
      </c>
      <c r="M704">
        <v>0</v>
      </c>
      <c r="N704">
        <f t="shared" si="20"/>
        <v>5</v>
      </c>
      <c r="O704">
        <f t="shared" si="21"/>
        <v>0</v>
      </c>
    </row>
    <row r="705" spans="1:15" x14ac:dyDescent="0.2">
      <c r="A705" s="1">
        <v>45527</v>
      </c>
      <c r="B705">
        <v>5</v>
      </c>
      <c r="C705" t="s">
        <v>16</v>
      </c>
      <c r="D705" s="2">
        <v>0.4375</v>
      </c>
      <c r="E705">
        <v>19801.05</v>
      </c>
      <c r="F705" s="2">
        <v>0.43888888888888888</v>
      </c>
      <c r="G705">
        <v>19787.189999999999</v>
      </c>
      <c r="H705">
        <v>19787.189999999999</v>
      </c>
      <c r="I705">
        <v>19835.7</v>
      </c>
      <c r="J705" t="s">
        <v>15</v>
      </c>
      <c r="K705">
        <v>-13.86</v>
      </c>
      <c r="L705" s="9">
        <v>-1</v>
      </c>
      <c r="M705">
        <v>0</v>
      </c>
      <c r="N705">
        <f t="shared" si="20"/>
        <v>6</v>
      </c>
      <c r="O705">
        <f t="shared" si="21"/>
        <v>0</v>
      </c>
    </row>
    <row r="706" spans="1:15" x14ac:dyDescent="0.2">
      <c r="A706" s="1">
        <v>45530</v>
      </c>
      <c r="B706">
        <v>1</v>
      </c>
      <c r="C706" t="s">
        <v>13</v>
      </c>
      <c r="D706" s="2">
        <v>0.41041666666666665</v>
      </c>
      <c r="E706">
        <v>19658.900000000001</v>
      </c>
      <c r="F706" s="2">
        <v>0.41736111111111113</v>
      </c>
      <c r="G706">
        <v>19624.5</v>
      </c>
      <c r="H706">
        <v>19672.66</v>
      </c>
      <c r="I706">
        <v>19624.5</v>
      </c>
      <c r="J706" t="s">
        <v>14</v>
      </c>
      <c r="K706">
        <v>34.4</v>
      </c>
      <c r="L706" s="9">
        <v>2.5</v>
      </c>
      <c r="M706">
        <v>1</v>
      </c>
      <c r="N706">
        <f t="shared" ref="N706:N769" si="22">IF(M706=0, IF(M705=0, N705+1, 1), 0)</f>
        <v>0</v>
      </c>
      <c r="O706">
        <f t="shared" ref="O706:O769" si="23">IF(M706=1, IF(M705=1, O705+1, 1), 0)</f>
        <v>1</v>
      </c>
    </row>
    <row r="707" spans="1:15" x14ac:dyDescent="0.2">
      <c r="A707" s="1">
        <v>45532</v>
      </c>
      <c r="B707">
        <v>3</v>
      </c>
      <c r="C707" t="s">
        <v>13</v>
      </c>
      <c r="D707" s="2">
        <v>0.40972222222222221</v>
      </c>
      <c r="E707">
        <v>19495.23</v>
      </c>
      <c r="F707" s="2">
        <v>0.41666666666666669</v>
      </c>
      <c r="G707">
        <v>19461.11</v>
      </c>
      <c r="H707">
        <v>19508.87</v>
      </c>
      <c r="I707">
        <v>19461.11</v>
      </c>
      <c r="J707" t="s">
        <v>14</v>
      </c>
      <c r="K707">
        <v>34.119999999999997</v>
      </c>
      <c r="L707" s="9">
        <v>2.5</v>
      </c>
      <c r="M707">
        <v>1</v>
      </c>
      <c r="N707">
        <f t="shared" si="22"/>
        <v>0</v>
      </c>
      <c r="O707">
        <f t="shared" si="23"/>
        <v>2</v>
      </c>
    </row>
    <row r="708" spans="1:15" x14ac:dyDescent="0.2">
      <c r="A708" s="1">
        <v>45532</v>
      </c>
      <c r="B708">
        <v>3</v>
      </c>
      <c r="C708" t="s">
        <v>13</v>
      </c>
      <c r="D708" s="2">
        <v>0.45347222222222222</v>
      </c>
      <c r="E708">
        <v>19409.78</v>
      </c>
      <c r="F708" s="2">
        <v>0.45416666666666666</v>
      </c>
      <c r="G708">
        <v>19423.37</v>
      </c>
      <c r="H708">
        <v>19423.37</v>
      </c>
      <c r="I708">
        <v>19375.82</v>
      </c>
      <c r="J708" t="s">
        <v>15</v>
      </c>
      <c r="K708">
        <v>-13.59</v>
      </c>
      <c r="L708" s="9">
        <v>-1</v>
      </c>
      <c r="M708">
        <v>0</v>
      </c>
      <c r="N708">
        <f t="shared" si="22"/>
        <v>1</v>
      </c>
      <c r="O708">
        <f t="shared" si="23"/>
        <v>0</v>
      </c>
    </row>
    <row r="709" spans="1:15" x14ac:dyDescent="0.2">
      <c r="A709" s="1">
        <v>45533</v>
      </c>
      <c r="B709">
        <v>4</v>
      </c>
      <c r="C709" t="s">
        <v>16</v>
      </c>
      <c r="D709" s="2">
        <v>0.40069444444444446</v>
      </c>
      <c r="E709">
        <v>19517.900000000001</v>
      </c>
      <c r="F709" s="2">
        <v>0.40208333333333335</v>
      </c>
      <c r="G709">
        <v>19504.240000000002</v>
      </c>
      <c r="H709">
        <v>19504.240000000002</v>
      </c>
      <c r="I709">
        <v>19552.060000000001</v>
      </c>
      <c r="J709" t="s">
        <v>15</v>
      </c>
      <c r="K709">
        <v>-13.66</v>
      </c>
      <c r="L709" s="9">
        <v>-1</v>
      </c>
      <c r="M709">
        <v>0</v>
      </c>
      <c r="N709">
        <f t="shared" si="22"/>
        <v>2</v>
      </c>
      <c r="O709">
        <f t="shared" si="23"/>
        <v>0</v>
      </c>
    </row>
    <row r="710" spans="1:15" x14ac:dyDescent="0.2">
      <c r="A710" s="1">
        <v>45533</v>
      </c>
      <c r="B710">
        <v>4</v>
      </c>
      <c r="C710" t="s">
        <v>16</v>
      </c>
      <c r="D710" s="2">
        <v>0.45208333333333334</v>
      </c>
      <c r="E710">
        <v>19608.14</v>
      </c>
      <c r="F710" s="2">
        <v>0.45624999999999999</v>
      </c>
      <c r="G710">
        <v>19594.419999999998</v>
      </c>
      <c r="H710">
        <v>19594.419999999998</v>
      </c>
      <c r="I710">
        <v>19642.46</v>
      </c>
      <c r="J710" t="s">
        <v>15</v>
      </c>
      <c r="K710">
        <v>-13.73</v>
      </c>
      <c r="L710" s="9">
        <v>-1</v>
      </c>
      <c r="M710">
        <v>0</v>
      </c>
      <c r="N710">
        <f t="shared" si="22"/>
        <v>3</v>
      </c>
      <c r="O710">
        <f t="shared" si="23"/>
        <v>0</v>
      </c>
    </row>
    <row r="711" spans="1:15" x14ac:dyDescent="0.2">
      <c r="A711" s="1">
        <v>45534</v>
      </c>
      <c r="B711">
        <v>5</v>
      </c>
      <c r="C711" t="s">
        <v>16</v>
      </c>
      <c r="D711" s="2">
        <v>0.39583333333333331</v>
      </c>
      <c r="E711">
        <v>19506.580000000002</v>
      </c>
      <c r="F711" s="2">
        <v>0.39652777777777776</v>
      </c>
      <c r="G711">
        <v>19492.919999999998</v>
      </c>
      <c r="H711">
        <v>19492.919999999998</v>
      </c>
      <c r="I711">
        <v>19540.72</v>
      </c>
      <c r="J711" t="s">
        <v>15</v>
      </c>
      <c r="K711">
        <v>-13.65</v>
      </c>
      <c r="L711" s="9">
        <v>-1</v>
      </c>
      <c r="M711">
        <v>0</v>
      </c>
      <c r="N711">
        <f t="shared" si="22"/>
        <v>4</v>
      </c>
      <c r="O711">
        <f t="shared" si="23"/>
        <v>0</v>
      </c>
    </row>
    <row r="712" spans="1:15" x14ac:dyDescent="0.2">
      <c r="A712" s="1">
        <v>45534</v>
      </c>
      <c r="B712">
        <v>5</v>
      </c>
      <c r="C712" t="s">
        <v>16</v>
      </c>
      <c r="D712" s="2">
        <v>0.41388888888888886</v>
      </c>
      <c r="E712">
        <v>19526.73</v>
      </c>
      <c r="F712" s="2">
        <v>0.41666666666666669</v>
      </c>
      <c r="G712">
        <v>19560.91</v>
      </c>
      <c r="H712">
        <v>19513.07</v>
      </c>
      <c r="I712">
        <v>19560.91</v>
      </c>
      <c r="J712" t="s">
        <v>14</v>
      </c>
      <c r="K712">
        <v>34.17</v>
      </c>
      <c r="L712" s="9">
        <v>2.5</v>
      </c>
      <c r="M712">
        <v>1</v>
      </c>
      <c r="N712">
        <f t="shared" si="22"/>
        <v>0</v>
      </c>
      <c r="O712">
        <f t="shared" si="23"/>
        <v>1</v>
      </c>
    </row>
    <row r="713" spans="1:15" x14ac:dyDescent="0.2">
      <c r="A713" s="1">
        <v>45534</v>
      </c>
      <c r="B713">
        <v>5</v>
      </c>
      <c r="C713" t="s">
        <v>13</v>
      </c>
      <c r="D713" s="2">
        <v>0.43402777777777779</v>
      </c>
      <c r="E713">
        <v>19501.66</v>
      </c>
      <c r="F713" s="2">
        <v>0.43472222222222223</v>
      </c>
      <c r="G713">
        <v>19467.53</v>
      </c>
      <c r="H713">
        <v>19515.310000000001</v>
      </c>
      <c r="I713">
        <v>19467.53</v>
      </c>
      <c r="J713" t="s">
        <v>14</v>
      </c>
      <c r="K713">
        <v>34.130000000000003</v>
      </c>
      <c r="L713" s="9">
        <v>2.5</v>
      </c>
      <c r="M713">
        <v>1</v>
      </c>
      <c r="N713">
        <f t="shared" si="22"/>
        <v>0</v>
      </c>
      <c r="O713">
        <f t="shared" si="23"/>
        <v>2</v>
      </c>
    </row>
    <row r="714" spans="1:15" x14ac:dyDescent="0.2">
      <c r="A714" s="1">
        <v>45537</v>
      </c>
      <c r="B714">
        <v>1</v>
      </c>
      <c r="C714" t="s">
        <v>16</v>
      </c>
      <c r="D714" s="2">
        <v>0.40763888888888888</v>
      </c>
      <c r="E714">
        <v>19588.07</v>
      </c>
      <c r="F714" s="2">
        <v>0.41597222222222224</v>
      </c>
      <c r="G714">
        <v>19574.36</v>
      </c>
      <c r="H714">
        <v>19574.36</v>
      </c>
      <c r="I714">
        <v>19622.349999999999</v>
      </c>
      <c r="J714" t="s">
        <v>15</v>
      </c>
      <c r="K714">
        <v>-13.71</v>
      </c>
      <c r="L714" s="9">
        <v>-1</v>
      </c>
      <c r="M714">
        <v>0</v>
      </c>
      <c r="N714">
        <f t="shared" si="22"/>
        <v>1</v>
      </c>
      <c r="O714">
        <f t="shared" si="23"/>
        <v>0</v>
      </c>
    </row>
    <row r="715" spans="1:15" x14ac:dyDescent="0.2">
      <c r="A715" s="1">
        <v>45537</v>
      </c>
      <c r="B715">
        <v>1</v>
      </c>
      <c r="C715" t="s">
        <v>13</v>
      </c>
      <c r="D715" s="2">
        <v>0.4236111111111111</v>
      </c>
      <c r="E715">
        <v>19558.18</v>
      </c>
      <c r="F715" s="2">
        <v>0.43888888888888888</v>
      </c>
      <c r="G715">
        <v>19571.87</v>
      </c>
      <c r="H715">
        <v>19571.87</v>
      </c>
      <c r="I715">
        <v>19523.95</v>
      </c>
      <c r="J715" t="s">
        <v>15</v>
      </c>
      <c r="K715">
        <v>-13.69</v>
      </c>
      <c r="L715" s="9">
        <v>-1</v>
      </c>
      <c r="M715">
        <v>0</v>
      </c>
      <c r="N715">
        <f t="shared" si="22"/>
        <v>2</v>
      </c>
      <c r="O715">
        <f t="shared" si="23"/>
        <v>0</v>
      </c>
    </row>
    <row r="716" spans="1:15" x14ac:dyDescent="0.2">
      <c r="A716" s="1">
        <v>45537</v>
      </c>
      <c r="B716">
        <v>1</v>
      </c>
      <c r="C716" t="s">
        <v>16</v>
      </c>
      <c r="D716" s="2">
        <v>0.44513888888888886</v>
      </c>
      <c r="E716">
        <v>19597.98</v>
      </c>
      <c r="F716" s="2">
        <v>0.53472222222222221</v>
      </c>
      <c r="G716">
        <v>19584.259999999998</v>
      </c>
      <c r="H716">
        <v>19584.259999999998</v>
      </c>
      <c r="I716">
        <v>19632.28</v>
      </c>
      <c r="J716" t="s">
        <v>15</v>
      </c>
      <c r="K716">
        <v>-13.72</v>
      </c>
      <c r="L716" s="9">
        <v>-1</v>
      </c>
      <c r="M716">
        <v>0</v>
      </c>
      <c r="N716">
        <f t="shared" si="22"/>
        <v>3</v>
      </c>
      <c r="O716">
        <f t="shared" si="23"/>
        <v>0</v>
      </c>
    </row>
    <row r="717" spans="1:15" x14ac:dyDescent="0.2">
      <c r="A717" s="1">
        <v>45539</v>
      </c>
      <c r="B717">
        <v>3</v>
      </c>
      <c r="C717" t="s">
        <v>16</v>
      </c>
      <c r="D717" s="2">
        <v>0.40625</v>
      </c>
      <c r="E717">
        <v>18897.560000000001</v>
      </c>
      <c r="F717" s="2">
        <v>0.40833333333333333</v>
      </c>
      <c r="G717">
        <v>18930.63</v>
      </c>
      <c r="H717">
        <v>18884.330000000002</v>
      </c>
      <c r="I717">
        <v>18930.63</v>
      </c>
      <c r="J717" t="s">
        <v>14</v>
      </c>
      <c r="K717">
        <v>33.07</v>
      </c>
      <c r="L717" s="9">
        <v>2.5</v>
      </c>
      <c r="M717">
        <v>1</v>
      </c>
      <c r="N717">
        <f t="shared" si="22"/>
        <v>0</v>
      </c>
      <c r="O717">
        <f t="shared" si="23"/>
        <v>1</v>
      </c>
    </row>
    <row r="718" spans="1:15" x14ac:dyDescent="0.2">
      <c r="A718" s="1">
        <v>45539</v>
      </c>
      <c r="B718">
        <v>3</v>
      </c>
      <c r="C718" t="s">
        <v>16</v>
      </c>
      <c r="D718" s="2">
        <v>0.44097222222222221</v>
      </c>
      <c r="E718">
        <v>18970.919999999998</v>
      </c>
      <c r="F718" s="2">
        <v>0.44374999999999998</v>
      </c>
      <c r="G718">
        <v>19004.12</v>
      </c>
      <c r="H718">
        <v>18957.64</v>
      </c>
      <c r="I718">
        <v>19004.12</v>
      </c>
      <c r="J718" t="s">
        <v>14</v>
      </c>
      <c r="K718">
        <v>33.200000000000003</v>
      </c>
      <c r="L718" s="9">
        <v>2.5</v>
      </c>
      <c r="M718">
        <v>1</v>
      </c>
      <c r="N718">
        <f t="shared" si="22"/>
        <v>0</v>
      </c>
      <c r="O718">
        <f t="shared" si="23"/>
        <v>2</v>
      </c>
    </row>
    <row r="719" spans="1:15" x14ac:dyDescent="0.2">
      <c r="A719" s="1">
        <v>45541</v>
      </c>
      <c r="B719">
        <v>5</v>
      </c>
      <c r="C719" t="s">
        <v>13</v>
      </c>
      <c r="D719" s="2">
        <v>0.40416666666666667</v>
      </c>
      <c r="E719">
        <v>18787.599999999999</v>
      </c>
      <c r="F719" s="2">
        <v>0.40486111111111112</v>
      </c>
      <c r="G719">
        <v>18800.75</v>
      </c>
      <c r="H719">
        <v>18800.75</v>
      </c>
      <c r="I719">
        <v>18754.72</v>
      </c>
      <c r="J719" t="s">
        <v>15</v>
      </c>
      <c r="K719">
        <v>-13.15</v>
      </c>
      <c r="L719" s="9">
        <v>-1</v>
      </c>
      <c r="M719">
        <v>0</v>
      </c>
      <c r="N719">
        <f t="shared" si="22"/>
        <v>1</v>
      </c>
      <c r="O719">
        <f t="shared" si="23"/>
        <v>0</v>
      </c>
    </row>
    <row r="720" spans="1:15" x14ac:dyDescent="0.2">
      <c r="A720" s="1">
        <v>45544</v>
      </c>
      <c r="B720">
        <v>1</v>
      </c>
      <c r="C720" t="s">
        <v>16</v>
      </c>
      <c r="D720" s="2">
        <v>0.4</v>
      </c>
      <c r="E720">
        <v>18616.46</v>
      </c>
      <c r="F720" s="2">
        <v>0.40277777777777779</v>
      </c>
      <c r="G720">
        <v>18603.43</v>
      </c>
      <c r="H720">
        <v>18603.43</v>
      </c>
      <c r="I720">
        <v>18649.04</v>
      </c>
      <c r="J720" t="s">
        <v>15</v>
      </c>
      <c r="K720">
        <v>-13.03</v>
      </c>
      <c r="L720" s="9">
        <v>-1</v>
      </c>
      <c r="M720">
        <v>0</v>
      </c>
      <c r="N720">
        <f t="shared" si="22"/>
        <v>2</v>
      </c>
      <c r="O720">
        <f t="shared" si="23"/>
        <v>0</v>
      </c>
    </row>
    <row r="721" spans="1:15" x14ac:dyDescent="0.2">
      <c r="A721" s="1">
        <v>45544</v>
      </c>
      <c r="B721">
        <v>1</v>
      </c>
      <c r="C721" t="s">
        <v>13</v>
      </c>
      <c r="D721" s="2">
        <v>0.43611111111111112</v>
      </c>
      <c r="E721">
        <v>18595.259999999998</v>
      </c>
      <c r="F721" s="2">
        <v>0.4375</v>
      </c>
      <c r="G721">
        <v>18562.71</v>
      </c>
      <c r="H721">
        <v>18608.27</v>
      </c>
      <c r="I721">
        <v>18562.71</v>
      </c>
      <c r="J721" t="s">
        <v>14</v>
      </c>
      <c r="K721">
        <v>32.54</v>
      </c>
      <c r="L721" s="9">
        <v>2.5</v>
      </c>
      <c r="M721">
        <v>1</v>
      </c>
      <c r="N721">
        <f t="shared" si="22"/>
        <v>0</v>
      </c>
      <c r="O721">
        <f t="shared" si="23"/>
        <v>1</v>
      </c>
    </row>
    <row r="722" spans="1:15" x14ac:dyDescent="0.2">
      <c r="A722" s="1">
        <v>45546</v>
      </c>
      <c r="B722">
        <v>3</v>
      </c>
      <c r="C722" t="s">
        <v>13</v>
      </c>
      <c r="D722" s="2">
        <v>0.40833333333333333</v>
      </c>
      <c r="E722">
        <v>18795.189999999999</v>
      </c>
      <c r="F722" s="2">
        <v>0.41180555555555554</v>
      </c>
      <c r="G722">
        <v>18762.3</v>
      </c>
      <c r="H722">
        <v>18808.34</v>
      </c>
      <c r="I722">
        <v>18762.3</v>
      </c>
      <c r="J722" t="s">
        <v>14</v>
      </c>
      <c r="K722">
        <v>32.89</v>
      </c>
      <c r="L722" s="9">
        <v>2.5</v>
      </c>
      <c r="M722">
        <v>1</v>
      </c>
      <c r="N722">
        <f t="shared" si="22"/>
        <v>0</v>
      </c>
      <c r="O722">
        <f t="shared" si="23"/>
        <v>2</v>
      </c>
    </row>
    <row r="723" spans="1:15" x14ac:dyDescent="0.2">
      <c r="A723" s="1">
        <v>45547</v>
      </c>
      <c r="B723">
        <v>4</v>
      </c>
      <c r="C723" t="s">
        <v>13</v>
      </c>
      <c r="D723" s="2">
        <v>0.39791666666666664</v>
      </c>
      <c r="E723">
        <v>19218.68</v>
      </c>
      <c r="F723" s="2">
        <v>0.39861111111111114</v>
      </c>
      <c r="G723">
        <v>19232.13</v>
      </c>
      <c r="H723">
        <v>19232.13</v>
      </c>
      <c r="I723">
        <v>19185.05</v>
      </c>
      <c r="J723" t="s">
        <v>15</v>
      </c>
      <c r="K723">
        <v>-13.45</v>
      </c>
      <c r="L723" s="9">
        <v>-1</v>
      </c>
      <c r="M723">
        <v>0</v>
      </c>
      <c r="N723">
        <f t="shared" si="22"/>
        <v>1</v>
      </c>
      <c r="O723">
        <f t="shared" si="23"/>
        <v>0</v>
      </c>
    </row>
    <row r="724" spans="1:15" x14ac:dyDescent="0.2">
      <c r="A724" s="1">
        <v>45547</v>
      </c>
      <c r="B724">
        <v>4</v>
      </c>
      <c r="C724" t="s">
        <v>16</v>
      </c>
      <c r="D724" s="2">
        <v>0.42708333333333331</v>
      </c>
      <c r="E724">
        <v>19268.79</v>
      </c>
      <c r="F724" s="2">
        <v>0.4284722222222222</v>
      </c>
      <c r="G724">
        <v>19302.509999999998</v>
      </c>
      <c r="H724">
        <v>19255.3</v>
      </c>
      <c r="I724">
        <v>19302.509999999998</v>
      </c>
      <c r="J724" t="s">
        <v>14</v>
      </c>
      <c r="K724">
        <v>33.72</v>
      </c>
      <c r="L724" s="9">
        <v>2.5</v>
      </c>
      <c r="M724">
        <v>1</v>
      </c>
      <c r="N724">
        <f t="shared" si="22"/>
        <v>0</v>
      </c>
      <c r="O724">
        <f t="shared" si="23"/>
        <v>1</v>
      </c>
    </row>
    <row r="725" spans="1:15" x14ac:dyDescent="0.2">
      <c r="A725" s="1">
        <v>45548</v>
      </c>
      <c r="B725">
        <v>5</v>
      </c>
      <c r="C725" t="s">
        <v>16</v>
      </c>
      <c r="D725" s="2">
        <v>0.40486111111111112</v>
      </c>
      <c r="E725">
        <v>19451.77</v>
      </c>
      <c r="F725" s="2">
        <v>0.40694444444444444</v>
      </c>
      <c r="G725">
        <v>19438.150000000001</v>
      </c>
      <c r="H725">
        <v>19438.150000000001</v>
      </c>
      <c r="I725">
        <v>19485.810000000001</v>
      </c>
      <c r="J725" t="s">
        <v>15</v>
      </c>
      <c r="K725">
        <v>-13.62</v>
      </c>
      <c r="L725" s="9">
        <v>-1</v>
      </c>
      <c r="M725">
        <v>0</v>
      </c>
      <c r="N725">
        <f t="shared" si="22"/>
        <v>1</v>
      </c>
      <c r="O725">
        <f t="shared" si="23"/>
        <v>0</v>
      </c>
    </row>
    <row r="726" spans="1:15" x14ac:dyDescent="0.2">
      <c r="A726" s="1">
        <v>45551</v>
      </c>
      <c r="B726">
        <v>1</v>
      </c>
      <c r="C726" t="s">
        <v>13</v>
      </c>
      <c r="D726" s="2">
        <v>0.40069444444444446</v>
      </c>
      <c r="E726">
        <v>19337.310000000001</v>
      </c>
      <c r="F726" s="2">
        <v>0.40138888888888891</v>
      </c>
      <c r="G726">
        <v>19350.849999999999</v>
      </c>
      <c r="H726">
        <v>19350.849999999999</v>
      </c>
      <c r="I726">
        <v>19303.47</v>
      </c>
      <c r="J726" t="s">
        <v>15</v>
      </c>
      <c r="K726">
        <v>-13.54</v>
      </c>
      <c r="L726" s="9">
        <v>-1</v>
      </c>
      <c r="M726">
        <v>0</v>
      </c>
      <c r="N726">
        <f t="shared" si="22"/>
        <v>2</v>
      </c>
      <c r="O726">
        <f t="shared" si="23"/>
        <v>0</v>
      </c>
    </row>
    <row r="727" spans="1:15" x14ac:dyDescent="0.2">
      <c r="A727" s="1">
        <v>45551</v>
      </c>
      <c r="B727">
        <v>1</v>
      </c>
      <c r="C727" t="s">
        <v>16</v>
      </c>
      <c r="D727" s="2">
        <v>0.4284722222222222</v>
      </c>
      <c r="E727">
        <v>19432.79</v>
      </c>
      <c r="F727" s="2">
        <v>0.42916666666666664</v>
      </c>
      <c r="G727">
        <v>19419.189999999999</v>
      </c>
      <c r="H727">
        <v>19419.189999999999</v>
      </c>
      <c r="I727">
        <v>19466.8</v>
      </c>
      <c r="J727" t="s">
        <v>15</v>
      </c>
      <c r="K727">
        <v>-13.6</v>
      </c>
      <c r="L727" s="9">
        <v>-1</v>
      </c>
      <c r="M727">
        <v>0</v>
      </c>
      <c r="N727">
        <f t="shared" si="22"/>
        <v>3</v>
      </c>
      <c r="O727">
        <f t="shared" si="23"/>
        <v>0</v>
      </c>
    </row>
    <row r="728" spans="1:15" x14ac:dyDescent="0.2">
      <c r="A728" s="1">
        <v>45551</v>
      </c>
      <c r="B728">
        <v>1</v>
      </c>
      <c r="C728" t="s">
        <v>13</v>
      </c>
      <c r="D728" s="2">
        <v>0.44166666666666665</v>
      </c>
      <c r="E728">
        <v>19321.060000000001</v>
      </c>
      <c r="F728" s="2">
        <v>0.44236111111111109</v>
      </c>
      <c r="G728">
        <v>19334.59</v>
      </c>
      <c r="H728">
        <v>19334.59</v>
      </c>
      <c r="I728">
        <v>19287.25</v>
      </c>
      <c r="J728" t="s">
        <v>15</v>
      </c>
      <c r="K728">
        <v>-13.52</v>
      </c>
      <c r="L728" s="9">
        <v>-1</v>
      </c>
      <c r="M728">
        <v>0</v>
      </c>
      <c r="N728">
        <f t="shared" si="22"/>
        <v>4</v>
      </c>
      <c r="O728">
        <f t="shared" si="23"/>
        <v>0</v>
      </c>
    </row>
    <row r="729" spans="1:15" x14ac:dyDescent="0.2">
      <c r="A729" s="1">
        <v>45552</v>
      </c>
      <c r="B729">
        <v>2</v>
      </c>
      <c r="C729" t="s">
        <v>13</v>
      </c>
      <c r="D729" s="2">
        <v>0.41319444444444442</v>
      </c>
      <c r="E729">
        <v>19496.16</v>
      </c>
      <c r="F729" s="2">
        <v>0.4152777777777778</v>
      </c>
      <c r="G729">
        <v>19509.810000000001</v>
      </c>
      <c r="H729">
        <v>19509.810000000001</v>
      </c>
      <c r="I729">
        <v>19462.04</v>
      </c>
      <c r="J729" t="s">
        <v>15</v>
      </c>
      <c r="K729">
        <v>-13.65</v>
      </c>
      <c r="L729" s="9">
        <v>-1</v>
      </c>
      <c r="M729">
        <v>0</v>
      </c>
      <c r="N729">
        <f t="shared" si="22"/>
        <v>5</v>
      </c>
      <c r="O729">
        <f t="shared" si="23"/>
        <v>0</v>
      </c>
    </row>
    <row r="730" spans="1:15" x14ac:dyDescent="0.2">
      <c r="A730" s="1">
        <v>45552</v>
      </c>
      <c r="B730">
        <v>2</v>
      </c>
      <c r="C730" t="s">
        <v>16</v>
      </c>
      <c r="D730" s="2">
        <v>0.4513888888888889</v>
      </c>
      <c r="E730">
        <v>19589.55</v>
      </c>
      <c r="F730" s="2">
        <v>0.45208333333333334</v>
      </c>
      <c r="G730">
        <v>19575.84</v>
      </c>
      <c r="H730">
        <v>19575.84</v>
      </c>
      <c r="I730">
        <v>19623.830000000002</v>
      </c>
      <c r="J730" t="s">
        <v>15</v>
      </c>
      <c r="K730">
        <v>-13.71</v>
      </c>
      <c r="L730" s="9">
        <v>-1</v>
      </c>
      <c r="M730">
        <v>0</v>
      </c>
      <c r="N730">
        <f t="shared" si="22"/>
        <v>6</v>
      </c>
      <c r="O730">
        <f t="shared" si="23"/>
        <v>0</v>
      </c>
    </row>
    <row r="731" spans="1:15" x14ac:dyDescent="0.2">
      <c r="A731" s="1">
        <v>45554</v>
      </c>
      <c r="B731">
        <v>4</v>
      </c>
      <c r="C731" t="s">
        <v>16</v>
      </c>
      <c r="D731" s="2">
        <v>0.39583333333333331</v>
      </c>
      <c r="E731">
        <v>19807</v>
      </c>
      <c r="F731" s="2">
        <v>0.39652777777777776</v>
      </c>
      <c r="G731">
        <v>19793.13</v>
      </c>
      <c r="H731">
        <v>19793.13</v>
      </c>
      <c r="I731">
        <v>19841.66</v>
      </c>
      <c r="J731" t="s">
        <v>15</v>
      </c>
      <c r="K731">
        <v>-13.86</v>
      </c>
      <c r="L731" s="9">
        <v>-1</v>
      </c>
      <c r="M731">
        <v>0</v>
      </c>
      <c r="N731">
        <f t="shared" si="22"/>
        <v>7</v>
      </c>
      <c r="O731">
        <f t="shared" si="23"/>
        <v>0</v>
      </c>
    </row>
    <row r="732" spans="1:15" x14ac:dyDescent="0.2">
      <c r="A732" s="1">
        <v>45554</v>
      </c>
      <c r="B732">
        <v>4</v>
      </c>
      <c r="C732" t="s">
        <v>16</v>
      </c>
      <c r="D732" s="2">
        <v>0.42777777777777776</v>
      </c>
      <c r="E732">
        <v>19806.599999999999</v>
      </c>
      <c r="F732" s="2">
        <v>0.43055555555555558</v>
      </c>
      <c r="G732">
        <v>19841.259999999998</v>
      </c>
      <c r="H732">
        <v>19792.740000000002</v>
      </c>
      <c r="I732">
        <v>19841.259999999998</v>
      </c>
      <c r="J732" t="s">
        <v>14</v>
      </c>
      <c r="K732">
        <v>34.659999999999997</v>
      </c>
      <c r="L732" s="9">
        <v>2.5</v>
      </c>
      <c r="M732">
        <v>1</v>
      </c>
      <c r="N732">
        <f t="shared" si="22"/>
        <v>0</v>
      </c>
      <c r="O732">
        <f t="shared" si="23"/>
        <v>1</v>
      </c>
    </row>
    <row r="733" spans="1:15" x14ac:dyDescent="0.2">
      <c r="A733" s="1">
        <v>45554</v>
      </c>
      <c r="B733">
        <v>4</v>
      </c>
      <c r="C733" t="s">
        <v>13</v>
      </c>
      <c r="D733" s="2">
        <v>0.45624999999999999</v>
      </c>
      <c r="E733">
        <v>19832.259999999998</v>
      </c>
      <c r="F733" s="2">
        <v>0.46111111111111114</v>
      </c>
      <c r="G733">
        <v>19846.150000000001</v>
      </c>
      <c r="H733">
        <v>19846.150000000001</v>
      </c>
      <c r="I733">
        <v>19797.560000000001</v>
      </c>
      <c r="J733" t="s">
        <v>15</v>
      </c>
      <c r="K733">
        <v>-13.88</v>
      </c>
      <c r="L733" s="9">
        <v>-1</v>
      </c>
      <c r="M733">
        <v>0</v>
      </c>
      <c r="N733">
        <f t="shared" si="22"/>
        <v>1</v>
      </c>
      <c r="O733">
        <f t="shared" si="23"/>
        <v>0</v>
      </c>
    </row>
    <row r="734" spans="1:15" x14ac:dyDescent="0.2">
      <c r="A734" s="1">
        <v>45555</v>
      </c>
      <c r="B734">
        <v>5</v>
      </c>
      <c r="C734" t="s">
        <v>16</v>
      </c>
      <c r="D734" s="2">
        <v>0.40138888888888891</v>
      </c>
      <c r="E734">
        <v>19824.18</v>
      </c>
      <c r="F734" s="2">
        <v>0.40277777777777779</v>
      </c>
      <c r="G734">
        <v>19810.310000000001</v>
      </c>
      <c r="H734">
        <v>19810.310000000001</v>
      </c>
      <c r="I734">
        <v>19858.87</v>
      </c>
      <c r="J734" t="s">
        <v>15</v>
      </c>
      <c r="K734">
        <v>-13.88</v>
      </c>
      <c r="L734" s="9">
        <v>-1</v>
      </c>
      <c r="M734">
        <v>0</v>
      </c>
      <c r="N734">
        <f t="shared" si="22"/>
        <v>2</v>
      </c>
      <c r="O734">
        <f t="shared" si="23"/>
        <v>0</v>
      </c>
    </row>
    <row r="735" spans="1:15" x14ac:dyDescent="0.2">
      <c r="A735" s="1">
        <v>45555</v>
      </c>
      <c r="B735">
        <v>5</v>
      </c>
      <c r="C735" t="s">
        <v>13</v>
      </c>
      <c r="D735" s="2">
        <v>0.42638888888888887</v>
      </c>
      <c r="E735">
        <v>19753.37</v>
      </c>
      <c r="F735" s="2">
        <v>0.42916666666666664</v>
      </c>
      <c r="G735">
        <v>19767.189999999999</v>
      </c>
      <c r="H735">
        <v>19767.189999999999</v>
      </c>
      <c r="I735">
        <v>19718.8</v>
      </c>
      <c r="J735" t="s">
        <v>15</v>
      </c>
      <c r="K735">
        <v>-13.83</v>
      </c>
      <c r="L735" s="9">
        <v>-1</v>
      </c>
      <c r="M735">
        <v>0</v>
      </c>
      <c r="N735">
        <f t="shared" si="22"/>
        <v>3</v>
      </c>
      <c r="O735">
        <f t="shared" si="23"/>
        <v>0</v>
      </c>
    </row>
    <row r="736" spans="1:15" x14ac:dyDescent="0.2">
      <c r="A736" s="1">
        <v>45555</v>
      </c>
      <c r="B736">
        <v>5</v>
      </c>
      <c r="C736" t="s">
        <v>13</v>
      </c>
      <c r="D736" s="2">
        <v>0.45277777777777778</v>
      </c>
      <c r="E736">
        <v>19733.93</v>
      </c>
      <c r="F736" s="2">
        <v>0.45416666666666666</v>
      </c>
      <c r="G736">
        <v>19699.39</v>
      </c>
      <c r="H736">
        <v>19747.740000000002</v>
      </c>
      <c r="I736">
        <v>19699.39</v>
      </c>
      <c r="J736" t="s">
        <v>14</v>
      </c>
      <c r="K736">
        <v>34.53</v>
      </c>
      <c r="L736" s="9">
        <v>2.5</v>
      </c>
      <c r="M736">
        <v>1</v>
      </c>
      <c r="N736">
        <f t="shared" si="22"/>
        <v>0</v>
      </c>
      <c r="O736">
        <f t="shared" si="23"/>
        <v>1</v>
      </c>
    </row>
    <row r="737" spans="1:15" x14ac:dyDescent="0.2">
      <c r="A737" s="1">
        <v>45560</v>
      </c>
      <c r="B737">
        <v>3</v>
      </c>
      <c r="C737" t="s">
        <v>16</v>
      </c>
      <c r="D737" s="2">
        <v>0.40138888888888891</v>
      </c>
      <c r="E737">
        <v>19967.95</v>
      </c>
      <c r="F737" s="2">
        <v>0.40347222222222223</v>
      </c>
      <c r="G737">
        <v>19953.97</v>
      </c>
      <c r="H737">
        <v>19953.97</v>
      </c>
      <c r="I737">
        <v>20002.89</v>
      </c>
      <c r="J737" t="s">
        <v>15</v>
      </c>
      <c r="K737">
        <v>-13.98</v>
      </c>
      <c r="L737" s="9">
        <v>-1</v>
      </c>
      <c r="M737">
        <v>0</v>
      </c>
      <c r="N737">
        <f t="shared" si="22"/>
        <v>1</v>
      </c>
      <c r="O737">
        <f t="shared" si="23"/>
        <v>0</v>
      </c>
    </row>
    <row r="738" spans="1:15" x14ac:dyDescent="0.2">
      <c r="A738" s="1">
        <v>45560</v>
      </c>
      <c r="B738">
        <v>3</v>
      </c>
      <c r="C738" t="s">
        <v>16</v>
      </c>
      <c r="D738" s="2">
        <v>0.41944444444444445</v>
      </c>
      <c r="E738">
        <v>20008.87</v>
      </c>
      <c r="F738" s="2">
        <v>0.42708333333333331</v>
      </c>
      <c r="G738">
        <v>20043.89</v>
      </c>
      <c r="H738">
        <v>19994.87</v>
      </c>
      <c r="I738">
        <v>20043.89</v>
      </c>
      <c r="J738" t="s">
        <v>14</v>
      </c>
      <c r="K738">
        <v>35.020000000000003</v>
      </c>
      <c r="L738" s="9">
        <v>2.5</v>
      </c>
      <c r="M738">
        <v>1</v>
      </c>
      <c r="N738">
        <f t="shared" si="22"/>
        <v>0</v>
      </c>
      <c r="O738">
        <f t="shared" si="23"/>
        <v>1</v>
      </c>
    </row>
    <row r="739" spans="1:15" x14ac:dyDescent="0.2">
      <c r="A739" s="1">
        <v>45561</v>
      </c>
      <c r="B739">
        <v>4</v>
      </c>
      <c r="C739" t="s">
        <v>13</v>
      </c>
      <c r="D739" s="2">
        <v>0.39861111111111114</v>
      </c>
      <c r="E739">
        <v>20247.23</v>
      </c>
      <c r="F739" s="2">
        <v>0.39930555555555558</v>
      </c>
      <c r="G739">
        <v>20211.8</v>
      </c>
      <c r="H739">
        <v>20261.41</v>
      </c>
      <c r="I739">
        <v>20211.8</v>
      </c>
      <c r="J739" t="s">
        <v>14</v>
      </c>
      <c r="K739">
        <v>35.43</v>
      </c>
      <c r="L739" s="9">
        <v>2.5</v>
      </c>
      <c r="M739">
        <v>1</v>
      </c>
      <c r="N739">
        <f t="shared" si="22"/>
        <v>0</v>
      </c>
      <c r="O739">
        <f t="shared" si="23"/>
        <v>2</v>
      </c>
    </row>
    <row r="740" spans="1:15" x14ac:dyDescent="0.2">
      <c r="A740" s="1">
        <v>45562</v>
      </c>
      <c r="B740">
        <v>5</v>
      </c>
      <c r="C740" t="s">
        <v>13</v>
      </c>
      <c r="D740" s="2">
        <v>0.43055555555555558</v>
      </c>
      <c r="E740">
        <v>20083.79</v>
      </c>
      <c r="F740" s="2">
        <v>0.43125000000000002</v>
      </c>
      <c r="G740">
        <v>20097.849999999999</v>
      </c>
      <c r="H740">
        <v>20097.849999999999</v>
      </c>
      <c r="I740">
        <v>20048.650000000001</v>
      </c>
      <c r="J740" t="s">
        <v>15</v>
      </c>
      <c r="K740">
        <v>-14.06</v>
      </c>
      <c r="L740" s="9">
        <v>-1</v>
      </c>
      <c r="M740">
        <v>0</v>
      </c>
      <c r="N740">
        <f t="shared" si="22"/>
        <v>1</v>
      </c>
      <c r="O740">
        <f t="shared" si="23"/>
        <v>0</v>
      </c>
    </row>
    <row r="741" spans="1:15" x14ac:dyDescent="0.2">
      <c r="A741" s="1">
        <v>45565</v>
      </c>
      <c r="B741">
        <v>1</v>
      </c>
      <c r="C741" t="s">
        <v>16</v>
      </c>
      <c r="D741" s="2">
        <v>0.4</v>
      </c>
      <c r="E741">
        <v>20012.03</v>
      </c>
      <c r="F741" s="2">
        <v>0.40069444444444446</v>
      </c>
      <c r="G741">
        <v>20047.05</v>
      </c>
      <c r="H741">
        <v>19998.02</v>
      </c>
      <c r="I741">
        <v>20047.05</v>
      </c>
      <c r="J741" t="s">
        <v>14</v>
      </c>
      <c r="K741">
        <v>35.020000000000003</v>
      </c>
      <c r="L741" s="9">
        <v>2.5</v>
      </c>
      <c r="M741">
        <v>1</v>
      </c>
      <c r="N741">
        <f t="shared" si="22"/>
        <v>0</v>
      </c>
      <c r="O741">
        <f t="shared" si="23"/>
        <v>1</v>
      </c>
    </row>
    <row r="742" spans="1:15" x14ac:dyDescent="0.2">
      <c r="A742" s="1">
        <v>45565</v>
      </c>
      <c r="B742">
        <v>1</v>
      </c>
      <c r="C742" t="s">
        <v>13</v>
      </c>
      <c r="D742" s="2">
        <v>0.42291666666666666</v>
      </c>
      <c r="E742">
        <v>19975.169999999998</v>
      </c>
      <c r="F742" s="2">
        <v>0.42430555555555555</v>
      </c>
      <c r="G742">
        <v>19989.150000000001</v>
      </c>
      <c r="H742">
        <v>19989.150000000001</v>
      </c>
      <c r="I742">
        <v>19940.21</v>
      </c>
      <c r="J742" t="s">
        <v>15</v>
      </c>
      <c r="K742">
        <v>-13.98</v>
      </c>
      <c r="L742" s="9">
        <v>-1</v>
      </c>
      <c r="M742">
        <v>0</v>
      </c>
      <c r="N742">
        <f t="shared" si="22"/>
        <v>1</v>
      </c>
      <c r="O742">
        <f t="shared" si="23"/>
        <v>0</v>
      </c>
    </row>
    <row r="743" spans="1:15" x14ac:dyDescent="0.2">
      <c r="A743" s="1">
        <v>45566</v>
      </c>
      <c r="B743">
        <v>2</v>
      </c>
      <c r="C743" t="s">
        <v>13</v>
      </c>
      <c r="D743" s="2">
        <v>0.40486111111111112</v>
      </c>
      <c r="E743">
        <v>19888.22</v>
      </c>
      <c r="F743" s="2">
        <v>0.40763888888888888</v>
      </c>
      <c r="G743">
        <v>19853.419999999998</v>
      </c>
      <c r="H743">
        <v>19902.14</v>
      </c>
      <c r="I743">
        <v>19853.419999999998</v>
      </c>
      <c r="J743" t="s">
        <v>14</v>
      </c>
      <c r="K743">
        <v>34.799999999999997</v>
      </c>
      <c r="L743" s="9">
        <v>2.5</v>
      </c>
      <c r="M743">
        <v>1</v>
      </c>
      <c r="N743">
        <f t="shared" si="22"/>
        <v>0</v>
      </c>
      <c r="O743">
        <f t="shared" si="23"/>
        <v>1</v>
      </c>
    </row>
    <row r="744" spans="1:15" x14ac:dyDescent="0.2">
      <c r="A744" s="1">
        <v>45568</v>
      </c>
      <c r="B744">
        <v>4</v>
      </c>
      <c r="C744" t="s">
        <v>16</v>
      </c>
      <c r="D744" s="2">
        <v>0.40694444444444444</v>
      </c>
      <c r="E744">
        <v>19788.759999999998</v>
      </c>
      <c r="F744" s="2">
        <v>0.40763888888888888</v>
      </c>
      <c r="G744">
        <v>19774.900000000001</v>
      </c>
      <c r="H744">
        <v>19774.900000000001</v>
      </c>
      <c r="I744">
        <v>19823.39</v>
      </c>
      <c r="J744" t="s">
        <v>15</v>
      </c>
      <c r="K744">
        <v>-13.85</v>
      </c>
      <c r="L744" s="9">
        <v>-1</v>
      </c>
      <c r="M744">
        <v>0</v>
      </c>
      <c r="N744">
        <f t="shared" si="22"/>
        <v>1</v>
      </c>
      <c r="O744">
        <f t="shared" si="23"/>
        <v>0</v>
      </c>
    </row>
    <row r="745" spans="1:15" x14ac:dyDescent="0.2">
      <c r="A745" s="1">
        <v>45568</v>
      </c>
      <c r="B745">
        <v>4</v>
      </c>
      <c r="C745" t="s">
        <v>13</v>
      </c>
      <c r="D745" s="2">
        <v>0.43611111111111112</v>
      </c>
      <c r="E745">
        <v>19773.009999999998</v>
      </c>
      <c r="F745" s="2">
        <v>0.4375</v>
      </c>
      <c r="G745">
        <v>19738.400000000001</v>
      </c>
      <c r="H745">
        <v>19786.849999999999</v>
      </c>
      <c r="I745">
        <v>19738.400000000001</v>
      </c>
      <c r="J745" t="s">
        <v>14</v>
      </c>
      <c r="K745">
        <v>34.6</v>
      </c>
      <c r="L745" s="9">
        <v>2.5</v>
      </c>
      <c r="M745">
        <v>1</v>
      </c>
      <c r="N745">
        <f t="shared" si="22"/>
        <v>0</v>
      </c>
      <c r="O745">
        <f t="shared" si="23"/>
        <v>1</v>
      </c>
    </row>
    <row r="746" spans="1:15" x14ac:dyDescent="0.2">
      <c r="A746" s="1">
        <v>45568</v>
      </c>
      <c r="B746">
        <v>4</v>
      </c>
      <c r="C746" t="s">
        <v>13</v>
      </c>
      <c r="D746" s="2">
        <v>0.44791666666666669</v>
      </c>
      <c r="E746">
        <v>19745.66</v>
      </c>
      <c r="F746" s="2">
        <v>0.44861111111111113</v>
      </c>
      <c r="G746">
        <v>19759.48</v>
      </c>
      <c r="H746">
        <v>19759.48</v>
      </c>
      <c r="I746">
        <v>19711.099999999999</v>
      </c>
      <c r="J746" t="s">
        <v>15</v>
      </c>
      <c r="K746">
        <v>-13.82</v>
      </c>
      <c r="L746" s="9">
        <v>-1</v>
      </c>
      <c r="M746">
        <v>0</v>
      </c>
      <c r="N746">
        <f t="shared" si="22"/>
        <v>1</v>
      </c>
      <c r="O746">
        <f t="shared" si="23"/>
        <v>0</v>
      </c>
    </row>
    <row r="747" spans="1:15" x14ac:dyDescent="0.2">
      <c r="A747" s="1">
        <v>45569</v>
      </c>
      <c r="B747">
        <v>5</v>
      </c>
      <c r="C747" t="s">
        <v>13</v>
      </c>
      <c r="D747" s="2">
        <v>0.39861111111111114</v>
      </c>
      <c r="E747">
        <v>20015.02</v>
      </c>
      <c r="F747" s="2">
        <v>0.39930555555555558</v>
      </c>
      <c r="G747">
        <v>20029.03</v>
      </c>
      <c r="H747">
        <v>20029.03</v>
      </c>
      <c r="I747">
        <v>19980</v>
      </c>
      <c r="J747" t="s">
        <v>15</v>
      </c>
      <c r="K747">
        <v>-14.01</v>
      </c>
      <c r="L747" s="9">
        <v>-1</v>
      </c>
      <c r="M747">
        <v>0</v>
      </c>
      <c r="N747">
        <f t="shared" si="22"/>
        <v>2</v>
      </c>
      <c r="O747">
        <f t="shared" si="23"/>
        <v>0</v>
      </c>
    </row>
    <row r="748" spans="1:15" x14ac:dyDescent="0.2">
      <c r="A748" s="1">
        <v>45569</v>
      </c>
      <c r="B748">
        <v>5</v>
      </c>
      <c r="C748" t="s">
        <v>13</v>
      </c>
      <c r="D748" s="2">
        <v>0.4375</v>
      </c>
      <c r="E748">
        <v>19842.46</v>
      </c>
      <c r="F748" s="2">
        <v>0.43958333333333333</v>
      </c>
      <c r="G748">
        <v>19856.349999999999</v>
      </c>
      <c r="H748">
        <v>19856.349999999999</v>
      </c>
      <c r="I748">
        <v>19807.740000000002</v>
      </c>
      <c r="J748" t="s">
        <v>15</v>
      </c>
      <c r="K748">
        <v>-13.89</v>
      </c>
      <c r="L748" s="9">
        <v>-1</v>
      </c>
      <c r="M748">
        <v>0</v>
      </c>
      <c r="N748">
        <f t="shared" si="22"/>
        <v>3</v>
      </c>
      <c r="O748">
        <f t="shared" si="23"/>
        <v>0</v>
      </c>
    </row>
    <row r="749" spans="1:15" x14ac:dyDescent="0.2">
      <c r="A749" s="1">
        <v>45569</v>
      </c>
      <c r="B749">
        <v>5</v>
      </c>
      <c r="C749" t="s">
        <v>16</v>
      </c>
      <c r="D749" s="2">
        <v>0.45416666666666666</v>
      </c>
      <c r="E749">
        <v>19903.759999999998</v>
      </c>
      <c r="F749" s="2">
        <v>0.45902777777777776</v>
      </c>
      <c r="G749">
        <v>19938.59</v>
      </c>
      <c r="H749">
        <v>19889.830000000002</v>
      </c>
      <c r="I749">
        <v>19938.59</v>
      </c>
      <c r="J749" t="s">
        <v>14</v>
      </c>
      <c r="K749">
        <v>34.83</v>
      </c>
      <c r="L749" s="9">
        <v>2.5</v>
      </c>
      <c r="M749">
        <v>1</v>
      </c>
      <c r="N749">
        <f t="shared" si="22"/>
        <v>0</v>
      </c>
      <c r="O749">
        <f t="shared" si="23"/>
        <v>1</v>
      </c>
    </row>
    <row r="750" spans="1:15" x14ac:dyDescent="0.2">
      <c r="A750" s="1">
        <v>45572</v>
      </c>
      <c r="B750">
        <v>1</v>
      </c>
      <c r="C750" t="s">
        <v>16</v>
      </c>
      <c r="D750" s="2">
        <v>0.40208333333333335</v>
      </c>
      <c r="E750">
        <v>19953.3</v>
      </c>
      <c r="F750" s="2">
        <v>0.40347222222222223</v>
      </c>
      <c r="G750">
        <v>19939.330000000002</v>
      </c>
      <c r="H750">
        <v>19939.330000000002</v>
      </c>
      <c r="I750">
        <v>19988.22</v>
      </c>
      <c r="J750" t="s">
        <v>15</v>
      </c>
      <c r="K750">
        <v>-13.97</v>
      </c>
      <c r="L750" s="9">
        <v>-1</v>
      </c>
      <c r="M750">
        <v>0</v>
      </c>
      <c r="N750">
        <f t="shared" si="22"/>
        <v>1</v>
      </c>
      <c r="O750">
        <f t="shared" si="23"/>
        <v>0</v>
      </c>
    </row>
    <row r="751" spans="1:15" x14ac:dyDescent="0.2">
      <c r="A751" s="1">
        <v>45572</v>
      </c>
      <c r="B751">
        <v>1</v>
      </c>
      <c r="C751" t="s">
        <v>13</v>
      </c>
      <c r="D751" s="2">
        <v>0.41319444444444442</v>
      </c>
      <c r="E751">
        <v>19912.79</v>
      </c>
      <c r="F751" s="2">
        <v>0.41388888888888886</v>
      </c>
      <c r="G751">
        <v>19926.73</v>
      </c>
      <c r="H751">
        <v>19926.73</v>
      </c>
      <c r="I751">
        <v>19877.939999999999</v>
      </c>
      <c r="J751" t="s">
        <v>15</v>
      </c>
      <c r="K751">
        <v>-13.94</v>
      </c>
      <c r="L751" s="9">
        <v>-1</v>
      </c>
      <c r="M751">
        <v>0</v>
      </c>
      <c r="N751">
        <f t="shared" si="22"/>
        <v>2</v>
      </c>
      <c r="O751">
        <f t="shared" si="23"/>
        <v>0</v>
      </c>
    </row>
    <row r="752" spans="1:15" x14ac:dyDescent="0.2">
      <c r="A752" s="1">
        <v>45572</v>
      </c>
      <c r="B752">
        <v>1</v>
      </c>
      <c r="C752" t="s">
        <v>16</v>
      </c>
      <c r="D752" s="2">
        <v>0.43055555555555558</v>
      </c>
      <c r="E752">
        <v>19962.79</v>
      </c>
      <c r="F752" s="2">
        <v>0.44444444444444442</v>
      </c>
      <c r="G752">
        <v>19948.810000000001</v>
      </c>
      <c r="H752">
        <v>19948.810000000001</v>
      </c>
      <c r="I752">
        <v>19997.72</v>
      </c>
      <c r="J752" t="s">
        <v>15</v>
      </c>
      <c r="K752">
        <v>-13.97</v>
      </c>
      <c r="L752" s="9">
        <v>-1</v>
      </c>
      <c r="M752">
        <v>0</v>
      </c>
      <c r="N752">
        <f t="shared" si="22"/>
        <v>3</v>
      </c>
      <c r="O752">
        <f t="shared" si="23"/>
        <v>0</v>
      </c>
    </row>
    <row r="753" spans="1:15" x14ac:dyDescent="0.2">
      <c r="A753" s="1">
        <v>45573</v>
      </c>
      <c r="B753">
        <v>2</v>
      </c>
      <c r="C753" t="s">
        <v>16</v>
      </c>
      <c r="D753" s="2">
        <v>0.4152777777777778</v>
      </c>
      <c r="E753">
        <v>19949.37</v>
      </c>
      <c r="F753" s="2">
        <v>0.41666666666666669</v>
      </c>
      <c r="G753">
        <v>19984.28</v>
      </c>
      <c r="H753">
        <v>19935.41</v>
      </c>
      <c r="I753">
        <v>19984.28</v>
      </c>
      <c r="J753" t="s">
        <v>14</v>
      </c>
      <c r="K753">
        <v>34.909999999999997</v>
      </c>
      <c r="L753" s="9">
        <v>2.5</v>
      </c>
      <c r="M753">
        <v>1</v>
      </c>
      <c r="N753">
        <f t="shared" si="22"/>
        <v>0</v>
      </c>
      <c r="O753">
        <f t="shared" si="23"/>
        <v>1</v>
      </c>
    </row>
    <row r="754" spans="1:15" x14ac:dyDescent="0.2">
      <c r="A754" s="1">
        <v>45573</v>
      </c>
      <c r="B754">
        <v>2</v>
      </c>
      <c r="C754" t="s">
        <v>16</v>
      </c>
      <c r="D754" s="2">
        <v>0.44027777777777777</v>
      </c>
      <c r="E754">
        <v>20000.28</v>
      </c>
      <c r="F754" s="2">
        <v>0.44583333333333336</v>
      </c>
      <c r="G754">
        <v>20035.28</v>
      </c>
      <c r="H754">
        <v>19986.28</v>
      </c>
      <c r="I754">
        <v>20035.28</v>
      </c>
      <c r="J754" t="s">
        <v>14</v>
      </c>
      <c r="K754">
        <v>35</v>
      </c>
      <c r="L754" s="9">
        <v>2.5</v>
      </c>
      <c r="M754">
        <v>1</v>
      </c>
      <c r="N754">
        <f t="shared" si="22"/>
        <v>0</v>
      </c>
      <c r="O754">
        <f t="shared" si="23"/>
        <v>2</v>
      </c>
    </row>
    <row r="755" spans="1:15" x14ac:dyDescent="0.2">
      <c r="A755" s="1">
        <v>45574</v>
      </c>
      <c r="B755">
        <v>3</v>
      </c>
      <c r="C755" t="s">
        <v>16</v>
      </c>
      <c r="D755" s="2">
        <v>0.42638888888888887</v>
      </c>
      <c r="E755">
        <v>20105.2</v>
      </c>
      <c r="F755" s="2">
        <v>0.43055555555555558</v>
      </c>
      <c r="G755">
        <v>20140.39</v>
      </c>
      <c r="H755">
        <v>20091.13</v>
      </c>
      <c r="I755">
        <v>20140.39</v>
      </c>
      <c r="J755" t="s">
        <v>14</v>
      </c>
      <c r="K755">
        <v>35.18</v>
      </c>
      <c r="L755" s="9">
        <v>2.5</v>
      </c>
      <c r="M755">
        <v>1</v>
      </c>
      <c r="N755">
        <f t="shared" si="22"/>
        <v>0</v>
      </c>
      <c r="O755">
        <f t="shared" si="23"/>
        <v>3</v>
      </c>
    </row>
    <row r="756" spans="1:15" x14ac:dyDescent="0.2">
      <c r="A756" s="1">
        <v>45575</v>
      </c>
      <c r="B756">
        <v>4</v>
      </c>
      <c r="C756" t="s">
        <v>16</v>
      </c>
      <c r="D756" s="2">
        <v>0.42569444444444443</v>
      </c>
      <c r="E756">
        <v>20212.150000000001</v>
      </c>
      <c r="F756" s="2">
        <v>0.43055555555555558</v>
      </c>
      <c r="G756">
        <v>20198</v>
      </c>
      <c r="H756">
        <v>20198</v>
      </c>
      <c r="I756">
        <v>20247.52</v>
      </c>
      <c r="J756" t="s">
        <v>15</v>
      </c>
      <c r="K756">
        <v>-14.15</v>
      </c>
      <c r="L756" s="9">
        <v>-1</v>
      </c>
      <c r="M756">
        <v>0</v>
      </c>
      <c r="N756">
        <f t="shared" si="22"/>
        <v>1</v>
      </c>
      <c r="O756">
        <f t="shared" si="23"/>
        <v>0</v>
      </c>
    </row>
    <row r="757" spans="1:15" x14ac:dyDescent="0.2">
      <c r="A757" s="1">
        <v>45576</v>
      </c>
      <c r="B757">
        <v>5</v>
      </c>
      <c r="C757" t="s">
        <v>13</v>
      </c>
      <c r="D757" s="2">
        <v>0.39652777777777776</v>
      </c>
      <c r="E757">
        <v>20160.82</v>
      </c>
      <c r="F757" s="2">
        <v>0.40625</v>
      </c>
      <c r="G757">
        <v>20174.93</v>
      </c>
      <c r="H757">
        <v>20174.93</v>
      </c>
      <c r="I757">
        <v>20125.54</v>
      </c>
      <c r="J757" t="s">
        <v>15</v>
      </c>
      <c r="K757">
        <v>-14.11</v>
      </c>
      <c r="L757" s="9">
        <v>-1</v>
      </c>
      <c r="M757">
        <v>0</v>
      </c>
      <c r="N757">
        <f t="shared" si="22"/>
        <v>2</v>
      </c>
      <c r="O757">
        <f t="shared" si="23"/>
        <v>0</v>
      </c>
    </row>
    <row r="758" spans="1:15" x14ac:dyDescent="0.2">
      <c r="A758" s="1">
        <v>45576</v>
      </c>
      <c r="B758">
        <v>5</v>
      </c>
      <c r="C758" t="s">
        <v>16</v>
      </c>
      <c r="D758" s="2">
        <v>0.42638888888888887</v>
      </c>
      <c r="E758">
        <v>20244.53</v>
      </c>
      <c r="F758" s="2">
        <v>0.43402777777777779</v>
      </c>
      <c r="G758">
        <v>20279.95</v>
      </c>
      <c r="H758">
        <v>20230.36</v>
      </c>
      <c r="I758">
        <v>20279.95</v>
      </c>
      <c r="J758" t="s">
        <v>14</v>
      </c>
      <c r="K758">
        <v>35.43</v>
      </c>
      <c r="L758" s="9">
        <v>2.5</v>
      </c>
      <c r="M758">
        <v>1</v>
      </c>
      <c r="N758">
        <f t="shared" si="22"/>
        <v>0</v>
      </c>
      <c r="O758">
        <f t="shared" si="23"/>
        <v>1</v>
      </c>
    </row>
    <row r="759" spans="1:15" x14ac:dyDescent="0.2">
      <c r="A759" s="1">
        <v>45579</v>
      </c>
      <c r="B759">
        <v>1</v>
      </c>
      <c r="C759" t="s">
        <v>16</v>
      </c>
      <c r="D759" s="2">
        <v>0.40208333333333335</v>
      </c>
      <c r="E759">
        <v>20407.71</v>
      </c>
      <c r="F759" s="2">
        <v>0.40694444444444444</v>
      </c>
      <c r="G759">
        <v>20443.419999999998</v>
      </c>
      <c r="H759">
        <v>20393.419999999998</v>
      </c>
      <c r="I759">
        <v>20443.419999999998</v>
      </c>
      <c r="J759" t="s">
        <v>14</v>
      </c>
      <c r="K759">
        <v>35.71</v>
      </c>
      <c r="L759" s="9">
        <v>2.5</v>
      </c>
      <c r="M759">
        <v>1</v>
      </c>
      <c r="N759">
        <f t="shared" si="22"/>
        <v>0</v>
      </c>
      <c r="O759">
        <f t="shared" si="23"/>
        <v>2</v>
      </c>
    </row>
    <row r="760" spans="1:15" x14ac:dyDescent="0.2">
      <c r="A760" s="1">
        <v>45579</v>
      </c>
      <c r="B760">
        <v>1</v>
      </c>
      <c r="C760" t="s">
        <v>13</v>
      </c>
      <c r="D760" s="2">
        <v>0.45416666666666666</v>
      </c>
      <c r="E760">
        <v>20415.89</v>
      </c>
      <c r="F760" s="2">
        <v>0.45763888888888887</v>
      </c>
      <c r="G760">
        <v>20380.16</v>
      </c>
      <c r="H760">
        <v>20430.18</v>
      </c>
      <c r="I760">
        <v>20380.16</v>
      </c>
      <c r="J760" t="s">
        <v>14</v>
      </c>
      <c r="K760">
        <v>35.729999999999997</v>
      </c>
      <c r="L760" s="9">
        <v>2.5</v>
      </c>
      <c r="M760">
        <v>1</v>
      </c>
      <c r="N760">
        <f t="shared" si="22"/>
        <v>0</v>
      </c>
      <c r="O760">
        <f t="shared" si="23"/>
        <v>3</v>
      </c>
    </row>
    <row r="761" spans="1:15" x14ac:dyDescent="0.2">
      <c r="A761" s="1">
        <v>45580</v>
      </c>
      <c r="B761">
        <v>2</v>
      </c>
      <c r="C761" t="s">
        <v>13</v>
      </c>
      <c r="D761" s="2">
        <v>0.40416666666666667</v>
      </c>
      <c r="E761">
        <v>20450.919999999998</v>
      </c>
      <c r="F761" s="2">
        <v>0.41319444444444442</v>
      </c>
      <c r="G761">
        <v>20465.240000000002</v>
      </c>
      <c r="H761">
        <v>20465.240000000002</v>
      </c>
      <c r="I761">
        <v>20415.13</v>
      </c>
      <c r="J761" t="s">
        <v>15</v>
      </c>
      <c r="K761">
        <v>-14.32</v>
      </c>
      <c r="L761" s="9">
        <v>-1</v>
      </c>
      <c r="M761">
        <v>0</v>
      </c>
      <c r="N761">
        <f t="shared" si="22"/>
        <v>1</v>
      </c>
      <c r="O761">
        <f t="shared" si="23"/>
        <v>0</v>
      </c>
    </row>
    <row r="762" spans="1:15" x14ac:dyDescent="0.2">
      <c r="A762" s="1">
        <v>45580</v>
      </c>
      <c r="B762">
        <v>2</v>
      </c>
      <c r="C762" t="s">
        <v>13</v>
      </c>
      <c r="D762" s="2">
        <v>0.42986111111111114</v>
      </c>
      <c r="E762">
        <v>20397.59</v>
      </c>
      <c r="F762" s="2">
        <v>0.43611111111111112</v>
      </c>
      <c r="G762">
        <v>20361.89</v>
      </c>
      <c r="H762">
        <v>20411.86</v>
      </c>
      <c r="I762">
        <v>20361.89</v>
      </c>
      <c r="J762" t="s">
        <v>14</v>
      </c>
      <c r="K762">
        <v>35.700000000000003</v>
      </c>
      <c r="L762" s="9">
        <v>2.5</v>
      </c>
      <c r="M762">
        <v>1</v>
      </c>
      <c r="N762">
        <f t="shared" si="22"/>
        <v>0</v>
      </c>
      <c r="O762">
        <f t="shared" si="23"/>
        <v>1</v>
      </c>
    </row>
    <row r="763" spans="1:15" x14ac:dyDescent="0.2">
      <c r="A763" s="1">
        <v>45581</v>
      </c>
      <c r="B763">
        <v>3</v>
      </c>
      <c r="C763" t="s">
        <v>13</v>
      </c>
      <c r="D763" s="2">
        <v>0.39861111111111114</v>
      </c>
      <c r="E763">
        <v>20149.45</v>
      </c>
      <c r="F763" s="2">
        <v>0.39930555555555558</v>
      </c>
      <c r="G763">
        <v>20114.189999999999</v>
      </c>
      <c r="H763">
        <v>20163.560000000001</v>
      </c>
      <c r="I763">
        <v>20114.189999999999</v>
      </c>
      <c r="J763" t="s">
        <v>14</v>
      </c>
      <c r="K763">
        <v>35.26</v>
      </c>
      <c r="L763" s="9">
        <v>2.5</v>
      </c>
      <c r="M763">
        <v>1</v>
      </c>
      <c r="N763">
        <f t="shared" si="22"/>
        <v>0</v>
      </c>
      <c r="O763">
        <f t="shared" si="23"/>
        <v>2</v>
      </c>
    </row>
    <row r="764" spans="1:15" x14ac:dyDescent="0.2">
      <c r="A764" s="1">
        <v>45581</v>
      </c>
      <c r="B764">
        <v>3</v>
      </c>
      <c r="C764" t="s">
        <v>16</v>
      </c>
      <c r="D764" s="2">
        <v>0.43541666666666667</v>
      </c>
      <c r="E764">
        <v>20153.53</v>
      </c>
      <c r="F764" s="2">
        <v>0.44027777777777777</v>
      </c>
      <c r="G764">
        <v>20139.419999999998</v>
      </c>
      <c r="H764">
        <v>20139.419999999998</v>
      </c>
      <c r="I764">
        <v>20188.8</v>
      </c>
      <c r="J764" t="s">
        <v>15</v>
      </c>
      <c r="K764">
        <v>-14.11</v>
      </c>
      <c r="L764" s="9">
        <v>-1</v>
      </c>
      <c r="M764">
        <v>0</v>
      </c>
      <c r="N764">
        <f t="shared" si="22"/>
        <v>1</v>
      </c>
      <c r="O764">
        <f t="shared" si="23"/>
        <v>0</v>
      </c>
    </row>
    <row r="765" spans="1:15" x14ac:dyDescent="0.2">
      <c r="A765" s="1">
        <v>45582</v>
      </c>
      <c r="B765">
        <v>4</v>
      </c>
      <c r="C765" t="s">
        <v>13</v>
      </c>
      <c r="D765" s="2">
        <v>0.40208333333333335</v>
      </c>
      <c r="E765">
        <v>20267.55</v>
      </c>
      <c r="F765" s="2">
        <v>0.40277777777777779</v>
      </c>
      <c r="G765">
        <v>20281.740000000002</v>
      </c>
      <c r="H765">
        <v>20281.740000000002</v>
      </c>
      <c r="I765">
        <v>20232.09</v>
      </c>
      <c r="J765" t="s">
        <v>15</v>
      </c>
      <c r="K765">
        <v>-14.19</v>
      </c>
      <c r="L765" s="9">
        <v>-1</v>
      </c>
      <c r="M765">
        <v>0</v>
      </c>
      <c r="N765">
        <f t="shared" si="22"/>
        <v>2</v>
      </c>
      <c r="O765">
        <f t="shared" si="23"/>
        <v>0</v>
      </c>
    </row>
    <row r="766" spans="1:15" x14ac:dyDescent="0.2">
      <c r="A766" s="1">
        <v>45582</v>
      </c>
      <c r="B766">
        <v>4</v>
      </c>
      <c r="C766" t="s">
        <v>13</v>
      </c>
      <c r="D766" s="2">
        <v>0.41944444444444445</v>
      </c>
      <c r="E766">
        <v>20233.400000000001</v>
      </c>
      <c r="F766" s="2">
        <v>0.4236111111111111</v>
      </c>
      <c r="G766">
        <v>20197.990000000002</v>
      </c>
      <c r="H766">
        <v>20247.57</v>
      </c>
      <c r="I766">
        <v>20197.990000000002</v>
      </c>
      <c r="J766" t="s">
        <v>14</v>
      </c>
      <c r="K766">
        <v>35.409999999999997</v>
      </c>
      <c r="L766" s="9">
        <v>2.5</v>
      </c>
      <c r="M766">
        <v>1</v>
      </c>
      <c r="N766">
        <f t="shared" si="22"/>
        <v>0</v>
      </c>
      <c r="O766">
        <f t="shared" si="23"/>
        <v>1</v>
      </c>
    </row>
    <row r="767" spans="1:15" x14ac:dyDescent="0.2">
      <c r="A767" s="1">
        <v>45582</v>
      </c>
      <c r="B767">
        <v>4</v>
      </c>
      <c r="C767" t="s">
        <v>13</v>
      </c>
      <c r="D767" s="2">
        <v>0.45347222222222222</v>
      </c>
      <c r="E767">
        <v>20219.330000000002</v>
      </c>
      <c r="F767" s="2">
        <v>0.45416666666666666</v>
      </c>
      <c r="G767">
        <v>20233.48</v>
      </c>
      <c r="H767">
        <v>20233.48</v>
      </c>
      <c r="I767">
        <v>20183.939999999999</v>
      </c>
      <c r="J767" t="s">
        <v>15</v>
      </c>
      <c r="K767">
        <v>-14.15</v>
      </c>
      <c r="L767" s="9">
        <v>-1</v>
      </c>
      <c r="M767">
        <v>0</v>
      </c>
      <c r="N767">
        <f t="shared" si="22"/>
        <v>1</v>
      </c>
      <c r="O767">
        <f t="shared" si="23"/>
        <v>0</v>
      </c>
    </row>
    <row r="768" spans="1:15" x14ac:dyDescent="0.2">
      <c r="A768" s="1">
        <v>45583</v>
      </c>
      <c r="B768">
        <v>5</v>
      </c>
      <c r="C768" t="s">
        <v>13</v>
      </c>
      <c r="D768" s="2">
        <v>0.39930555555555558</v>
      </c>
      <c r="E768">
        <v>20285.7</v>
      </c>
      <c r="F768" s="2">
        <v>0.40138888888888891</v>
      </c>
      <c r="G768">
        <v>20299.900000000001</v>
      </c>
      <c r="H768">
        <v>20299.900000000001</v>
      </c>
      <c r="I768">
        <v>20250.2</v>
      </c>
      <c r="J768" t="s">
        <v>15</v>
      </c>
      <c r="K768">
        <v>-14.2</v>
      </c>
      <c r="L768" s="9">
        <v>-1</v>
      </c>
      <c r="M768">
        <v>0</v>
      </c>
      <c r="N768">
        <f t="shared" si="22"/>
        <v>2</v>
      </c>
      <c r="O768">
        <f t="shared" si="23"/>
        <v>0</v>
      </c>
    </row>
    <row r="769" spans="1:15" x14ac:dyDescent="0.2">
      <c r="A769" s="1">
        <v>45583</v>
      </c>
      <c r="B769">
        <v>5</v>
      </c>
      <c r="C769" t="s">
        <v>16</v>
      </c>
      <c r="D769" s="2">
        <v>0.4201388888888889</v>
      </c>
      <c r="E769">
        <v>20322.990000000002</v>
      </c>
      <c r="F769" s="2">
        <v>0.4236111111111111</v>
      </c>
      <c r="G769">
        <v>20358.560000000001</v>
      </c>
      <c r="H769">
        <v>20308.77</v>
      </c>
      <c r="I769">
        <v>20358.560000000001</v>
      </c>
      <c r="J769" t="s">
        <v>14</v>
      </c>
      <c r="K769">
        <v>35.57</v>
      </c>
      <c r="L769" s="9">
        <v>2.5</v>
      </c>
      <c r="M769">
        <v>1</v>
      </c>
      <c r="N769">
        <f t="shared" si="22"/>
        <v>0</v>
      </c>
      <c r="O769">
        <f t="shared" si="23"/>
        <v>1</v>
      </c>
    </row>
    <row r="770" spans="1:15" x14ac:dyDescent="0.2">
      <c r="A770" s="1">
        <v>45586</v>
      </c>
      <c r="B770">
        <v>1</v>
      </c>
      <c r="C770" t="s">
        <v>16</v>
      </c>
      <c r="D770" s="2">
        <v>0.39861111111111114</v>
      </c>
      <c r="E770">
        <v>20278.91</v>
      </c>
      <c r="F770" s="2">
        <v>0.4</v>
      </c>
      <c r="G770">
        <v>20314.39</v>
      </c>
      <c r="H770">
        <v>20264.71</v>
      </c>
      <c r="I770">
        <v>20314.39</v>
      </c>
      <c r="J770" t="s">
        <v>14</v>
      </c>
      <c r="K770">
        <v>35.49</v>
      </c>
      <c r="L770" s="9">
        <v>2.5</v>
      </c>
      <c r="M770">
        <v>1</v>
      </c>
      <c r="N770">
        <f t="shared" ref="N770:N833" si="24">IF(M770=0, IF(M769=0, N769+1, 1), 0)</f>
        <v>0</v>
      </c>
      <c r="O770">
        <f t="shared" ref="O770:O833" si="25">IF(M770=1, IF(M769=1, O769+1, 1), 0)</f>
        <v>2</v>
      </c>
    </row>
    <row r="771" spans="1:15" x14ac:dyDescent="0.2">
      <c r="A771" s="1">
        <v>45586</v>
      </c>
      <c r="B771">
        <v>1</v>
      </c>
      <c r="C771" t="s">
        <v>13</v>
      </c>
      <c r="D771" s="2">
        <v>0.44930555555555557</v>
      </c>
      <c r="E771">
        <v>20262.84</v>
      </c>
      <c r="F771" s="2">
        <v>0.45347222222222222</v>
      </c>
      <c r="G771">
        <v>20277.02</v>
      </c>
      <c r="H771">
        <v>20277.02</v>
      </c>
      <c r="I771">
        <v>20227.38</v>
      </c>
      <c r="J771" t="s">
        <v>15</v>
      </c>
      <c r="K771">
        <v>-14.18</v>
      </c>
      <c r="L771" s="9">
        <v>-1</v>
      </c>
      <c r="M771">
        <v>0</v>
      </c>
      <c r="N771">
        <f t="shared" si="24"/>
        <v>1</v>
      </c>
      <c r="O771">
        <f t="shared" si="25"/>
        <v>0</v>
      </c>
    </row>
    <row r="772" spans="1:15" x14ac:dyDescent="0.2">
      <c r="A772" s="1">
        <v>45587</v>
      </c>
      <c r="B772">
        <v>2</v>
      </c>
      <c r="C772" t="s">
        <v>16</v>
      </c>
      <c r="D772" s="2">
        <v>0.40277777777777779</v>
      </c>
      <c r="E772">
        <v>20263.5</v>
      </c>
      <c r="F772" s="2">
        <v>0.40416666666666667</v>
      </c>
      <c r="G772">
        <v>20298.96</v>
      </c>
      <c r="H772">
        <v>20249.32</v>
      </c>
      <c r="I772">
        <v>20298.96</v>
      </c>
      <c r="J772" t="s">
        <v>14</v>
      </c>
      <c r="K772">
        <v>35.46</v>
      </c>
      <c r="L772" s="9">
        <v>2.5</v>
      </c>
      <c r="M772">
        <v>1</v>
      </c>
      <c r="N772">
        <f t="shared" si="24"/>
        <v>0</v>
      </c>
      <c r="O772">
        <f t="shared" si="25"/>
        <v>1</v>
      </c>
    </row>
    <row r="773" spans="1:15" x14ac:dyDescent="0.2">
      <c r="A773" s="1">
        <v>45587</v>
      </c>
      <c r="B773">
        <v>2</v>
      </c>
      <c r="C773" t="s">
        <v>13</v>
      </c>
      <c r="D773" s="2">
        <v>0.45069444444444445</v>
      </c>
      <c r="E773">
        <v>20306.73</v>
      </c>
      <c r="F773" s="2">
        <v>0.45277777777777778</v>
      </c>
      <c r="G773">
        <v>20320.939999999999</v>
      </c>
      <c r="H773">
        <v>20320.939999999999</v>
      </c>
      <c r="I773">
        <v>20271.189999999999</v>
      </c>
      <c r="J773" t="s">
        <v>15</v>
      </c>
      <c r="K773">
        <v>-14.21</v>
      </c>
      <c r="L773" s="9">
        <v>-1</v>
      </c>
      <c r="M773">
        <v>0</v>
      </c>
      <c r="N773">
        <f t="shared" si="24"/>
        <v>1</v>
      </c>
      <c r="O773">
        <f t="shared" si="25"/>
        <v>0</v>
      </c>
    </row>
    <row r="774" spans="1:15" x14ac:dyDescent="0.2">
      <c r="A774" s="1">
        <v>45588</v>
      </c>
      <c r="B774">
        <v>3</v>
      </c>
      <c r="C774" t="s">
        <v>13</v>
      </c>
      <c r="D774" s="2">
        <v>0.42222222222222222</v>
      </c>
      <c r="E774">
        <v>20223.5</v>
      </c>
      <c r="F774" s="2">
        <v>0.42430555555555555</v>
      </c>
      <c r="G774">
        <v>20237.66</v>
      </c>
      <c r="H774">
        <v>20237.66</v>
      </c>
      <c r="I774">
        <v>20188.11</v>
      </c>
      <c r="J774" t="s">
        <v>15</v>
      </c>
      <c r="K774">
        <v>-14.16</v>
      </c>
      <c r="L774" s="9">
        <v>-1</v>
      </c>
      <c r="M774">
        <v>0</v>
      </c>
      <c r="N774">
        <f t="shared" si="24"/>
        <v>2</v>
      </c>
      <c r="O774">
        <f t="shared" si="25"/>
        <v>0</v>
      </c>
    </row>
    <row r="775" spans="1:15" x14ac:dyDescent="0.2">
      <c r="A775" s="1">
        <v>45588</v>
      </c>
      <c r="B775">
        <v>3</v>
      </c>
      <c r="C775" t="s">
        <v>16</v>
      </c>
      <c r="D775" s="2">
        <v>0.45</v>
      </c>
      <c r="E775">
        <v>20291.7</v>
      </c>
      <c r="F775" s="2">
        <v>0.45208333333333334</v>
      </c>
      <c r="G775">
        <v>20277.490000000002</v>
      </c>
      <c r="H775">
        <v>20277.490000000002</v>
      </c>
      <c r="I775">
        <v>20327.21</v>
      </c>
      <c r="J775" t="s">
        <v>15</v>
      </c>
      <c r="K775">
        <v>-14.2</v>
      </c>
      <c r="L775" s="9">
        <v>-1</v>
      </c>
      <c r="M775">
        <v>0</v>
      </c>
      <c r="N775">
        <f t="shared" si="24"/>
        <v>3</v>
      </c>
      <c r="O775">
        <f t="shared" si="25"/>
        <v>0</v>
      </c>
    </row>
    <row r="776" spans="1:15" x14ac:dyDescent="0.2">
      <c r="A776" s="1">
        <v>45590</v>
      </c>
      <c r="B776">
        <v>5</v>
      </c>
      <c r="C776" t="s">
        <v>16</v>
      </c>
      <c r="D776" s="2">
        <v>0.40277777777777779</v>
      </c>
      <c r="E776">
        <v>20409.64</v>
      </c>
      <c r="F776" s="2">
        <v>0.40486111111111112</v>
      </c>
      <c r="G776">
        <v>20445.349999999999</v>
      </c>
      <c r="H776">
        <v>20395.349999999999</v>
      </c>
      <c r="I776">
        <v>20445.349999999999</v>
      </c>
      <c r="J776" t="s">
        <v>14</v>
      </c>
      <c r="K776">
        <v>35.72</v>
      </c>
      <c r="L776" s="9">
        <v>2.5</v>
      </c>
      <c r="M776">
        <v>1</v>
      </c>
      <c r="N776">
        <f t="shared" si="24"/>
        <v>0</v>
      </c>
      <c r="O776">
        <f t="shared" si="25"/>
        <v>1</v>
      </c>
    </row>
    <row r="777" spans="1:15" x14ac:dyDescent="0.2">
      <c r="A777" s="1">
        <v>45590</v>
      </c>
      <c r="B777">
        <v>5</v>
      </c>
      <c r="C777" t="s">
        <v>16</v>
      </c>
      <c r="D777" s="2">
        <v>0.43888888888888888</v>
      </c>
      <c r="E777">
        <v>20551.12</v>
      </c>
      <c r="F777" s="2">
        <v>0.44166666666666665</v>
      </c>
      <c r="G777">
        <v>20536.73</v>
      </c>
      <c r="H777">
        <v>20536.73</v>
      </c>
      <c r="I777">
        <v>20587.080000000002</v>
      </c>
      <c r="J777" t="s">
        <v>15</v>
      </c>
      <c r="K777">
        <v>-14.39</v>
      </c>
      <c r="L777" s="9">
        <v>-1</v>
      </c>
      <c r="M777">
        <v>0</v>
      </c>
      <c r="N777">
        <f t="shared" si="24"/>
        <v>1</v>
      </c>
      <c r="O777">
        <f t="shared" si="25"/>
        <v>0</v>
      </c>
    </row>
    <row r="778" spans="1:15" x14ac:dyDescent="0.2">
      <c r="A778" s="1">
        <v>45593</v>
      </c>
      <c r="B778">
        <v>1</v>
      </c>
      <c r="C778" t="s">
        <v>13</v>
      </c>
      <c r="D778" s="2">
        <v>0.39583333333333331</v>
      </c>
      <c r="E778">
        <v>20477.84</v>
      </c>
      <c r="F778" s="2">
        <v>0.39652777777777776</v>
      </c>
      <c r="G778">
        <v>20442</v>
      </c>
      <c r="H778">
        <v>20492.169999999998</v>
      </c>
      <c r="I778">
        <v>20442</v>
      </c>
      <c r="J778" t="s">
        <v>14</v>
      </c>
      <c r="K778">
        <v>35.840000000000003</v>
      </c>
      <c r="L778" s="9">
        <v>2.5</v>
      </c>
      <c r="M778">
        <v>1</v>
      </c>
      <c r="N778">
        <f t="shared" si="24"/>
        <v>0</v>
      </c>
      <c r="O778">
        <f t="shared" si="25"/>
        <v>1</v>
      </c>
    </row>
    <row r="779" spans="1:15" x14ac:dyDescent="0.2">
      <c r="A779" s="1">
        <v>45593</v>
      </c>
      <c r="B779">
        <v>1</v>
      </c>
      <c r="C779" t="s">
        <v>16</v>
      </c>
      <c r="D779" s="2">
        <v>0.43333333333333335</v>
      </c>
      <c r="E779">
        <v>20445.669999999998</v>
      </c>
      <c r="F779" s="2">
        <v>0.44027777777777777</v>
      </c>
      <c r="G779">
        <v>20431.349999999999</v>
      </c>
      <c r="H779">
        <v>20431.349999999999</v>
      </c>
      <c r="I779">
        <v>20481.45</v>
      </c>
      <c r="J779" t="s">
        <v>15</v>
      </c>
      <c r="K779">
        <v>-14.31</v>
      </c>
      <c r="L779" s="9">
        <v>-1</v>
      </c>
      <c r="M779">
        <v>0</v>
      </c>
      <c r="N779">
        <f t="shared" si="24"/>
        <v>1</v>
      </c>
      <c r="O779">
        <f t="shared" si="25"/>
        <v>0</v>
      </c>
    </row>
    <row r="780" spans="1:15" x14ac:dyDescent="0.2">
      <c r="A780" s="1">
        <v>45596</v>
      </c>
      <c r="B780">
        <v>4</v>
      </c>
      <c r="C780" t="s">
        <v>13</v>
      </c>
      <c r="D780" s="2">
        <v>0.39930555555555558</v>
      </c>
      <c r="E780">
        <v>20159.03</v>
      </c>
      <c r="F780" s="2">
        <v>0.40625</v>
      </c>
      <c r="G780">
        <v>20123.759999999998</v>
      </c>
      <c r="H780">
        <v>20173.150000000001</v>
      </c>
      <c r="I780">
        <v>20123.759999999998</v>
      </c>
      <c r="J780" t="s">
        <v>14</v>
      </c>
      <c r="K780">
        <v>35.28</v>
      </c>
      <c r="L780" s="9">
        <v>2.5</v>
      </c>
      <c r="M780">
        <v>1</v>
      </c>
      <c r="N780">
        <f t="shared" si="24"/>
        <v>0</v>
      </c>
      <c r="O780">
        <f t="shared" si="25"/>
        <v>1</v>
      </c>
    </row>
    <row r="781" spans="1:15" x14ac:dyDescent="0.2">
      <c r="A781" s="1">
        <v>45596</v>
      </c>
      <c r="B781">
        <v>4</v>
      </c>
      <c r="C781" t="s">
        <v>13</v>
      </c>
      <c r="D781" s="2">
        <v>0.45277777777777778</v>
      </c>
      <c r="E781">
        <v>19955.080000000002</v>
      </c>
      <c r="F781" s="2">
        <v>0.46319444444444446</v>
      </c>
      <c r="G781">
        <v>19969.05</v>
      </c>
      <c r="H781">
        <v>19969.05</v>
      </c>
      <c r="I781">
        <v>19920.16</v>
      </c>
      <c r="J781" t="s">
        <v>15</v>
      </c>
      <c r="K781">
        <v>-13.97</v>
      </c>
      <c r="L781" s="9">
        <v>-1</v>
      </c>
      <c r="M781">
        <v>0</v>
      </c>
      <c r="N781">
        <f t="shared" si="24"/>
        <v>1</v>
      </c>
      <c r="O781">
        <f t="shared" si="25"/>
        <v>0</v>
      </c>
    </row>
    <row r="782" spans="1:15" x14ac:dyDescent="0.2">
      <c r="A782" s="1">
        <v>45600</v>
      </c>
      <c r="B782">
        <v>1</v>
      </c>
      <c r="C782" t="s">
        <v>13</v>
      </c>
      <c r="D782" s="2">
        <v>0.40208333333333335</v>
      </c>
      <c r="E782">
        <v>19920.080000000002</v>
      </c>
      <c r="F782" s="2">
        <v>0.40277777777777779</v>
      </c>
      <c r="G782">
        <v>19934.03</v>
      </c>
      <c r="H782">
        <v>19934.03</v>
      </c>
      <c r="I782">
        <v>19885.22</v>
      </c>
      <c r="J782" t="s">
        <v>15</v>
      </c>
      <c r="K782">
        <v>-13.94</v>
      </c>
      <c r="L782" s="9">
        <v>-1</v>
      </c>
      <c r="M782">
        <v>0</v>
      </c>
      <c r="N782">
        <f t="shared" si="24"/>
        <v>2</v>
      </c>
      <c r="O782">
        <f t="shared" si="25"/>
        <v>0</v>
      </c>
    </row>
    <row r="783" spans="1:15" x14ac:dyDescent="0.2">
      <c r="A783" s="1">
        <v>45600</v>
      </c>
      <c r="B783">
        <v>1</v>
      </c>
      <c r="C783" t="s">
        <v>16</v>
      </c>
      <c r="D783" s="2">
        <v>0.41805555555555557</v>
      </c>
      <c r="E783">
        <v>20013.22</v>
      </c>
      <c r="F783" s="2">
        <v>0.43055555555555558</v>
      </c>
      <c r="G783">
        <v>20048.25</v>
      </c>
      <c r="H783">
        <v>19999.21</v>
      </c>
      <c r="I783">
        <v>20048.25</v>
      </c>
      <c r="J783" t="s">
        <v>14</v>
      </c>
      <c r="K783">
        <v>35.020000000000003</v>
      </c>
      <c r="L783" s="9">
        <v>2.5</v>
      </c>
      <c r="M783">
        <v>1</v>
      </c>
      <c r="N783">
        <f t="shared" si="24"/>
        <v>0</v>
      </c>
      <c r="O783">
        <f t="shared" si="25"/>
        <v>1</v>
      </c>
    </row>
    <row r="784" spans="1:15" x14ac:dyDescent="0.2">
      <c r="A784" s="1">
        <v>45600</v>
      </c>
      <c r="B784">
        <v>1</v>
      </c>
      <c r="C784" t="s">
        <v>16</v>
      </c>
      <c r="D784" s="2">
        <v>0.45347222222222222</v>
      </c>
      <c r="E784">
        <v>20080.41</v>
      </c>
      <c r="F784" s="2">
        <v>0.45763888888888887</v>
      </c>
      <c r="G784">
        <v>20066.36</v>
      </c>
      <c r="H784">
        <v>20066.36</v>
      </c>
      <c r="I784">
        <v>20115.55</v>
      </c>
      <c r="J784" t="s">
        <v>15</v>
      </c>
      <c r="K784">
        <v>-14.06</v>
      </c>
      <c r="L784" s="9">
        <v>-1</v>
      </c>
      <c r="M784">
        <v>0</v>
      </c>
      <c r="N784">
        <f t="shared" si="24"/>
        <v>1</v>
      </c>
      <c r="O784">
        <f t="shared" si="25"/>
        <v>0</v>
      </c>
    </row>
    <row r="785" spans="1:15" x14ac:dyDescent="0.2">
      <c r="A785" s="1">
        <v>45601</v>
      </c>
      <c r="B785">
        <v>2</v>
      </c>
      <c r="C785" t="s">
        <v>16</v>
      </c>
      <c r="D785" s="2">
        <v>0.39583333333333331</v>
      </c>
      <c r="E785">
        <v>20038.490000000002</v>
      </c>
      <c r="F785" s="2">
        <v>0.39652777777777776</v>
      </c>
      <c r="G785">
        <v>20073.55</v>
      </c>
      <c r="H785">
        <v>20024.46</v>
      </c>
      <c r="I785">
        <v>20073.55</v>
      </c>
      <c r="J785" t="s">
        <v>14</v>
      </c>
      <c r="K785">
        <v>35.07</v>
      </c>
      <c r="L785" s="9">
        <v>2.5</v>
      </c>
      <c r="M785">
        <v>1</v>
      </c>
      <c r="N785">
        <f t="shared" si="24"/>
        <v>0</v>
      </c>
      <c r="O785">
        <f t="shared" si="25"/>
        <v>1</v>
      </c>
    </row>
    <row r="786" spans="1:15" x14ac:dyDescent="0.2">
      <c r="A786" s="1">
        <v>45602</v>
      </c>
      <c r="B786">
        <v>3</v>
      </c>
      <c r="C786" t="s">
        <v>16</v>
      </c>
      <c r="D786" s="2">
        <v>0.40416666666666667</v>
      </c>
      <c r="E786">
        <v>20665.23</v>
      </c>
      <c r="F786" s="2">
        <v>0.40486111111111112</v>
      </c>
      <c r="G786">
        <v>20650.77</v>
      </c>
      <c r="H786">
        <v>20650.77</v>
      </c>
      <c r="I786">
        <v>20701.400000000001</v>
      </c>
      <c r="J786" t="s">
        <v>15</v>
      </c>
      <c r="K786">
        <v>-14.47</v>
      </c>
      <c r="L786" s="9">
        <v>-1</v>
      </c>
      <c r="M786">
        <v>0</v>
      </c>
      <c r="N786">
        <f t="shared" si="24"/>
        <v>1</v>
      </c>
      <c r="O786">
        <f t="shared" si="25"/>
        <v>0</v>
      </c>
    </row>
    <row r="787" spans="1:15" x14ac:dyDescent="0.2">
      <c r="A787" s="1">
        <v>45602</v>
      </c>
      <c r="B787">
        <v>3</v>
      </c>
      <c r="C787" t="s">
        <v>16</v>
      </c>
      <c r="D787" s="2">
        <v>0.43125000000000002</v>
      </c>
      <c r="E787">
        <v>20657.04</v>
      </c>
      <c r="F787" s="2">
        <v>0.43819444444444444</v>
      </c>
      <c r="G787">
        <v>20693.189999999999</v>
      </c>
      <c r="H787">
        <v>20642.580000000002</v>
      </c>
      <c r="I787">
        <v>20693.189999999999</v>
      </c>
      <c r="J787" t="s">
        <v>14</v>
      </c>
      <c r="K787">
        <v>36.15</v>
      </c>
      <c r="L787" s="9">
        <v>2.5</v>
      </c>
      <c r="M787">
        <v>1</v>
      </c>
      <c r="N787">
        <f t="shared" si="24"/>
        <v>0</v>
      </c>
      <c r="O787">
        <f t="shared" si="25"/>
        <v>1</v>
      </c>
    </row>
    <row r="788" spans="1:15" x14ac:dyDescent="0.2">
      <c r="A788" s="1">
        <v>45602</v>
      </c>
      <c r="B788">
        <v>3</v>
      </c>
      <c r="C788" t="s">
        <v>13</v>
      </c>
      <c r="D788" s="2">
        <v>0.4548611111111111</v>
      </c>
      <c r="E788">
        <v>20612.11</v>
      </c>
      <c r="F788" s="2">
        <v>0.45694444444444443</v>
      </c>
      <c r="G788">
        <v>20626.54</v>
      </c>
      <c r="H788">
        <v>20626.54</v>
      </c>
      <c r="I788">
        <v>20576.04</v>
      </c>
      <c r="J788" t="s">
        <v>15</v>
      </c>
      <c r="K788">
        <v>-14.43</v>
      </c>
      <c r="L788" s="9">
        <v>-1</v>
      </c>
      <c r="M788">
        <v>0</v>
      </c>
      <c r="N788">
        <f t="shared" si="24"/>
        <v>1</v>
      </c>
      <c r="O788">
        <f t="shared" si="25"/>
        <v>0</v>
      </c>
    </row>
    <row r="789" spans="1:15" x14ac:dyDescent="0.2">
      <c r="A789" s="1">
        <v>45604</v>
      </c>
      <c r="B789">
        <v>5</v>
      </c>
      <c r="C789" t="s">
        <v>16</v>
      </c>
      <c r="D789" s="2">
        <v>0.39583333333333331</v>
      </c>
      <c r="E789">
        <v>21075.62</v>
      </c>
      <c r="F789" s="2">
        <v>0.39791666666666664</v>
      </c>
      <c r="G789">
        <v>21112.51</v>
      </c>
      <c r="H789">
        <v>21060.87</v>
      </c>
      <c r="I789">
        <v>21112.51</v>
      </c>
      <c r="J789" t="s">
        <v>14</v>
      </c>
      <c r="K789">
        <v>36.880000000000003</v>
      </c>
      <c r="L789" s="9">
        <v>2.5</v>
      </c>
      <c r="M789">
        <v>1</v>
      </c>
      <c r="N789">
        <f t="shared" si="24"/>
        <v>0</v>
      </c>
      <c r="O789">
        <f t="shared" si="25"/>
        <v>1</v>
      </c>
    </row>
    <row r="790" spans="1:15" x14ac:dyDescent="0.2">
      <c r="A790" s="1">
        <v>45604</v>
      </c>
      <c r="B790">
        <v>5</v>
      </c>
      <c r="C790" t="s">
        <v>13</v>
      </c>
      <c r="D790" s="2">
        <v>0.42569444444444443</v>
      </c>
      <c r="E790">
        <v>21065.97</v>
      </c>
      <c r="F790" s="2">
        <v>0.42916666666666664</v>
      </c>
      <c r="G790">
        <v>21080.71</v>
      </c>
      <c r="H790">
        <v>21080.71</v>
      </c>
      <c r="I790">
        <v>21029.1</v>
      </c>
      <c r="J790" t="s">
        <v>15</v>
      </c>
      <c r="K790">
        <v>-14.75</v>
      </c>
      <c r="L790" s="9">
        <v>-1</v>
      </c>
      <c r="M790">
        <v>0</v>
      </c>
      <c r="N790">
        <f t="shared" si="24"/>
        <v>1</v>
      </c>
      <c r="O790">
        <f t="shared" si="25"/>
        <v>0</v>
      </c>
    </row>
    <row r="791" spans="1:15" x14ac:dyDescent="0.2">
      <c r="A791" s="1">
        <v>45604</v>
      </c>
      <c r="B791">
        <v>5</v>
      </c>
      <c r="C791" t="s">
        <v>16</v>
      </c>
      <c r="D791" s="2">
        <v>0.44097222222222221</v>
      </c>
      <c r="E791">
        <v>21090.240000000002</v>
      </c>
      <c r="F791" s="2">
        <v>0.44166666666666665</v>
      </c>
      <c r="G791">
        <v>21075.48</v>
      </c>
      <c r="H791">
        <v>21075.48</v>
      </c>
      <c r="I791">
        <v>21127.15</v>
      </c>
      <c r="J791" t="s">
        <v>15</v>
      </c>
      <c r="K791">
        <v>-14.76</v>
      </c>
      <c r="L791" s="9">
        <v>-1</v>
      </c>
      <c r="M791">
        <v>0</v>
      </c>
      <c r="N791">
        <f t="shared" si="24"/>
        <v>2</v>
      </c>
      <c r="O791">
        <f t="shared" si="25"/>
        <v>0</v>
      </c>
    </row>
    <row r="792" spans="1:15" x14ac:dyDescent="0.2">
      <c r="A792" s="1">
        <v>45607</v>
      </c>
      <c r="B792">
        <v>1</v>
      </c>
      <c r="C792" t="s">
        <v>13</v>
      </c>
      <c r="D792" s="2">
        <v>0.39583333333333331</v>
      </c>
      <c r="E792">
        <v>21176.959999999999</v>
      </c>
      <c r="F792" s="2">
        <v>0.40208333333333335</v>
      </c>
      <c r="G792">
        <v>21139.9</v>
      </c>
      <c r="H792">
        <v>21191.79</v>
      </c>
      <c r="I792">
        <v>21139.9</v>
      </c>
      <c r="J792" t="s">
        <v>14</v>
      </c>
      <c r="K792">
        <v>37.06</v>
      </c>
      <c r="L792" s="9">
        <v>2.5</v>
      </c>
      <c r="M792">
        <v>1</v>
      </c>
      <c r="N792">
        <f t="shared" si="24"/>
        <v>0</v>
      </c>
      <c r="O792">
        <f t="shared" si="25"/>
        <v>1</v>
      </c>
    </row>
    <row r="793" spans="1:15" x14ac:dyDescent="0.2">
      <c r="A793" s="1">
        <v>45607</v>
      </c>
      <c r="B793">
        <v>1</v>
      </c>
      <c r="C793" t="s">
        <v>16</v>
      </c>
      <c r="D793" s="2">
        <v>0.44513888888888886</v>
      </c>
      <c r="E793">
        <v>21125.37</v>
      </c>
      <c r="F793" s="2">
        <v>0.44583333333333336</v>
      </c>
      <c r="G793">
        <v>21110.58</v>
      </c>
      <c r="H793">
        <v>21110.58</v>
      </c>
      <c r="I793">
        <v>21162.34</v>
      </c>
      <c r="J793" t="s">
        <v>15</v>
      </c>
      <c r="K793">
        <v>-14.79</v>
      </c>
      <c r="L793" s="9">
        <v>-1</v>
      </c>
      <c r="M793">
        <v>0</v>
      </c>
      <c r="N793">
        <f t="shared" si="24"/>
        <v>1</v>
      </c>
      <c r="O793">
        <f t="shared" si="25"/>
        <v>0</v>
      </c>
    </row>
    <row r="794" spans="1:15" x14ac:dyDescent="0.2">
      <c r="A794" s="1">
        <v>45608</v>
      </c>
      <c r="B794">
        <v>2</v>
      </c>
      <c r="C794" t="s">
        <v>13</v>
      </c>
      <c r="D794" s="2">
        <v>0.45555555555555555</v>
      </c>
      <c r="E794">
        <v>21099.23</v>
      </c>
      <c r="F794" s="2">
        <v>0.46736111111111112</v>
      </c>
      <c r="G794">
        <v>21062.31</v>
      </c>
      <c r="H794">
        <v>21114</v>
      </c>
      <c r="I794">
        <v>21062.31</v>
      </c>
      <c r="J794" t="s">
        <v>14</v>
      </c>
      <c r="K794">
        <v>36.92</v>
      </c>
      <c r="L794" s="9">
        <v>2.5</v>
      </c>
      <c r="M794">
        <v>1</v>
      </c>
      <c r="N794">
        <f t="shared" si="24"/>
        <v>0</v>
      </c>
      <c r="O794">
        <f t="shared" si="25"/>
        <v>1</v>
      </c>
    </row>
    <row r="795" spans="1:15" x14ac:dyDescent="0.2">
      <c r="A795" s="1">
        <v>45609</v>
      </c>
      <c r="B795">
        <v>3</v>
      </c>
      <c r="C795" t="s">
        <v>13</v>
      </c>
      <c r="D795" s="2">
        <v>0.42222222222222222</v>
      </c>
      <c r="E795">
        <v>20985.34</v>
      </c>
      <c r="F795" s="2">
        <v>0.4236111111111111</v>
      </c>
      <c r="G795">
        <v>21000.02</v>
      </c>
      <c r="H795">
        <v>21000.02</v>
      </c>
      <c r="I795">
        <v>20948.61</v>
      </c>
      <c r="J795" t="s">
        <v>15</v>
      </c>
      <c r="K795">
        <v>-14.69</v>
      </c>
      <c r="L795" s="9">
        <v>-1</v>
      </c>
      <c r="M795">
        <v>0</v>
      </c>
      <c r="N795">
        <f t="shared" si="24"/>
        <v>1</v>
      </c>
      <c r="O795">
        <f t="shared" si="25"/>
        <v>0</v>
      </c>
    </row>
    <row r="796" spans="1:15" x14ac:dyDescent="0.2">
      <c r="A796" s="1">
        <v>45610</v>
      </c>
      <c r="B796">
        <v>4</v>
      </c>
      <c r="C796" t="s">
        <v>13</v>
      </c>
      <c r="D796" s="2">
        <v>0.41944444444444445</v>
      </c>
      <c r="E796">
        <v>20981.24</v>
      </c>
      <c r="F796" s="2">
        <v>0.42152777777777778</v>
      </c>
      <c r="G796">
        <v>20995.919999999998</v>
      </c>
      <c r="H796">
        <v>20995.919999999998</v>
      </c>
      <c r="I796">
        <v>20944.52</v>
      </c>
      <c r="J796" t="s">
        <v>15</v>
      </c>
      <c r="K796">
        <v>-14.69</v>
      </c>
      <c r="L796" s="9">
        <v>-1</v>
      </c>
      <c r="M796">
        <v>0</v>
      </c>
      <c r="N796">
        <f t="shared" si="24"/>
        <v>2</v>
      </c>
      <c r="O796">
        <f t="shared" si="25"/>
        <v>0</v>
      </c>
    </row>
    <row r="797" spans="1:15" x14ac:dyDescent="0.2">
      <c r="A797" s="1">
        <v>45610</v>
      </c>
      <c r="B797">
        <v>4</v>
      </c>
      <c r="C797" t="s">
        <v>16</v>
      </c>
      <c r="D797" s="2">
        <v>0.44513888888888886</v>
      </c>
      <c r="E797">
        <v>21003.15</v>
      </c>
      <c r="F797" s="2">
        <v>0.45694444444444443</v>
      </c>
      <c r="G797">
        <v>20988.45</v>
      </c>
      <c r="H797">
        <v>20988.45</v>
      </c>
      <c r="I797">
        <v>21039.9</v>
      </c>
      <c r="J797" t="s">
        <v>15</v>
      </c>
      <c r="K797">
        <v>-14.7</v>
      </c>
      <c r="L797" s="9">
        <v>-1</v>
      </c>
      <c r="M797">
        <v>0</v>
      </c>
      <c r="N797">
        <f t="shared" si="24"/>
        <v>3</v>
      </c>
      <c r="O797">
        <f t="shared" si="25"/>
        <v>0</v>
      </c>
    </row>
    <row r="798" spans="1:15" x14ac:dyDescent="0.2">
      <c r="A798" s="1">
        <v>45611</v>
      </c>
      <c r="B798">
        <v>5</v>
      </c>
      <c r="C798" t="s">
        <v>13</v>
      </c>
      <c r="D798" s="2">
        <v>0.40277777777777779</v>
      </c>
      <c r="E798">
        <v>20610.740000000002</v>
      </c>
      <c r="F798" s="2">
        <v>0.40347222222222223</v>
      </c>
      <c r="G798">
        <v>20625.169999999998</v>
      </c>
      <c r="H798">
        <v>20625.169999999998</v>
      </c>
      <c r="I798">
        <v>20574.669999999998</v>
      </c>
      <c r="J798" t="s">
        <v>15</v>
      </c>
      <c r="K798">
        <v>-14.43</v>
      </c>
      <c r="L798" s="9">
        <v>-1</v>
      </c>
      <c r="M798">
        <v>0</v>
      </c>
      <c r="N798">
        <f t="shared" si="24"/>
        <v>4</v>
      </c>
      <c r="O798">
        <f t="shared" si="25"/>
        <v>0</v>
      </c>
    </row>
    <row r="799" spans="1:15" x14ac:dyDescent="0.2">
      <c r="A799" s="1">
        <v>45611</v>
      </c>
      <c r="B799">
        <v>5</v>
      </c>
      <c r="C799" t="s">
        <v>13</v>
      </c>
      <c r="D799" s="2">
        <v>0.41875000000000001</v>
      </c>
      <c r="E799">
        <v>20582.97</v>
      </c>
      <c r="F799" s="2">
        <v>0.42291666666666666</v>
      </c>
      <c r="G799">
        <v>20546.95</v>
      </c>
      <c r="H799">
        <v>20597.38</v>
      </c>
      <c r="I799">
        <v>20546.95</v>
      </c>
      <c r="J799" t="s">
        <v>14</v>
      </c>
      <c r="K799">
        <v>36.020000000000003</v>
      </c>
      <c r="L799" s="9">
        <v>2.5</v>
      </c>
      <c r="M799">
        <v>1</v>
      </c>
      <c r="N799">
        <f t="shared" si="24"/>
        <v>0</v>
      </c>
      <c r="O799">
        <f t="shared" si="25"/>
        <v>1</v>
      </c>
    </row>
    <row r="800" spans="1:15" x14ac:dyDescent="0.2">
      <c r="A800" s="1">
        <v>45614</v>
      </c>
      <c r="B800">
        <v>1</v>
      </c>
      <c r="C800" t="s">
        <v>13</v>
      </c>
      <c r="D800" s="2">
        <v>0.40902777777777777</v>
      </c>
      <c r="E800">
        <v>20427.2</v>
      </c>
      <c r="F800" s="2">
        <v>0.41736111111111113</v>
      </c>
      <c r="G800">
        <v>20441.5</v>
      </c>
      <c r="H800">
        <v>20441.5</v>
      </c>
      <c r="I800">
        <v>20391.45</v>
      </c>
      <c r="J800" t="s">
        <v>15</v>
      </c>
      <c r="K800">
        <v>-14.3</v>
      </c>
      <c r="L800" s="9">
        <v>-1</v>
      </c>
      <c r="M800">
        <v>0</v>
      </c>
      <c r="N800">
        <f t="shared" si="24"/>
        <v>1</v>
      </c>
      <c r="O800">
        <f t="shared" si="25"/>
        <v>0</v>
      </c>
    </row>
    <row r="801" spans="1:15" x14ac:dyDescent="0.2">
      <c r="A801" s="1">
        <v>45614</v>
      </c>
      <c r="B801">
        <v>1</v>
      </c>
      <c r="C801" t="s">
        <v>16</v>
      </c>
      <c r="D801" s="2">
        <v>0.4236111111111111</v>
      </c>
      <c r="E801">
        <v>20480.990000000002</v>
      </c>
      <c r="F801" s="2">
        <v>0.42777777777777776</v>
      </c>
      <c r="G801">
        <v>20516.830000000002</v>
      </c>
      <c r="H801">
        <v>20466.650000000001</v>
      </c>
      <c r="I801">
        <v>20516.830000000002</v>
      </c>
      <c r="J801" t="s">
        <v>14</v>
      </c>
      <c r="K801">
        <v>35.840000000000003</v>
      </c>
      <c r="L801" s="9">
        <v>2.5</v>
      </c>
      <c r="M801">
        <v>1</v>
      </c>
      <c r="N801">
        <f t="shared" si="24"/>
        <v>0</v>
      </c>
      <c r="O801">
        <f t="shared" si="25"/>
        <v>1</v>
      </c>
    </row>
    <row r="802" spans="1:15" x14ac:dyDescent="0.2">
      <c r="A802" s="1">
        <v>45615</v>
      </c>
      <c r="B802">
        <v>2</v>
      </c>
      <c r="C802" t="s">
        <v>16</v>
      </c>
      <c r="D802" s="2">
        <v>0.40277777777777779</v>
      </c>
      <c r="E802">
        <v>20458.150000000001</v>
      </c>
      <c r="F802" s="2">
        <v>0.40972222222222221</v>
      </c>
      <c r="G802">
        <v>20443.830000000002</v>
      </c>
      <c r="H802">
        <v>20443.830000000002</v>
      </c>
      <c r="I802">
        <v>20493.95</v>
      </c>
      <c r="J802" t="s">
        <v>15</v>
      </c>
      <c r="K802">
        <v>-14.32</v>
      </c>
      <c r="L802" s="9">
        <v>-1</v>
      </c>
      <c r="M802">
        <v>0</v>
      </c>
      <c r="N802">
        <f t="shared" si="24"/>
        <v>1</v>
      </c>
      <c r="O802">
        <f t="shared" si="25"/>
        <v>0</v>
      </c>
    </row>
    <row r="803" spans="1:15" x14ac:dyDescent="0.2">
      <c r="A803" s="1">
        <v>45615</v>
      </c>
      <c r="B803">
        <v>2</v>
      </c>
      <c r="C803" t="s">
        <v>16</v>
      </c>
      <c r="D803" s="2">
        <v>0.43819444444444444</v>
      </c>
      <c r="E803">
        <v>20494.28</v>
      </c>
      <c r="F803" s="2">
        <v>0.44166666666666665</v>
      </c>
      <c r="G803">
        <v>20530.14</v>
      </c>
      <c r="H803">
        <v>20479.93</v>
      </c>
      <c r="I803">
        <v>20530.14</v>
      </c>
      <c r="J803" t="s">
        <v>14</v>
      </c>
      <c r="K803">
        <v>35.86</v>
      </c>
      <c r="L803" s="9">
        <v>2.5</v>
      </c>
      <c r="M803">
        <v>1</v>
      </c>
      <c r="N803">
        <f t="shared" si="24"/>
        <v>0</v>
      </c>
      <c r="O803">
        <f t="shared" si="25"/>
        <v>1</v>
      </c>
    </row>
    <row r="804" spans="1:15" x14ac:dyDescent="0.2">
      <c r="A804" s="1">
        <v>45616</v>
      </c>
      <c r="B804">
        <v>3</v>
      </c>
      <c r="C804" t="s">
        <v>13</v>
      </c>
      <c r="D804" s="2">
        <v>0.40486111111111112</v>
      </c>
      <c r="E804">
        <v>20567.439999999999</v>
      </c>
      <c r="F804" s="2">
        <v>0.4152777777777778</v>
      </c>
      <c r="G804">
        <v>20531.45</v>
      </c>
      <c r="H804">
        <v>20581.84</v>
      </c>
      <c r="I804">
        <v>20531.45</v>
      </c>
      <c r="J804" t="s">
        <v>14</v>
      </c>
      <c r="K804">
        <v>35.99</v>
      </c>
      <c r="L804" s="9">
        <v>2.5</v>
      </c>
      <c r="M804">
        <v>1</v>
      </c>
      <c r="N804">
        <f t="shared" si="24"/>
        <v>0</v>
      </c>
      <c r="O804">
        <f t="shared" si="25"/>
        <v>2</v>
      </c>
    </row>
    <row r="805" spans="1:15" x14ac:dyDescent="0.2">
      <c r="A805" s="1">
        <v>45616</v>
      </c>
      <c r="B805">
        <v>3</v>
      </c>
      <c r="C805" t="s">
        <v>16</v>
      </c>
      <c r="D805" s="2">
        <v>0.4513888888888889</v>
      </c>
      <c r="E805">
        <v>20520.310000000001</v>
      </c>
      <c r="F805" s="2">
        <v>0.46597222222222223</v>
      </c>
      <c r="G805">
        <v>20505.95</v>
      </c>
      <c r="H805">
        <v>20505.95</v>
      </c>
      <c r="I805">
        <v>20556.22</v>
      </c>
      <c r="J805" t="s">
        <v>15</v>
      </c>
      <c r="K805">
        <v>-14.36</v>
      </c>
      <c r="L805" s="9">
        <v>-1</v>
      </c>
      <c r="M805">
        <v>0</v>
      </c>
      <c r="N805">
        <f t="shared" si="24"/>
        <v>1</v>
      </c>
      <c r="O805">
        <f t="shared" si="25"/>
        <v>0</v>
      </c>
    </row>
    <row r="806" spans="1:15" x14ac:dyDescent="0.2">
      <c r="A806" s="1">
        <v>45617</v>
      </c>
      <c r="B806">
        <v>4</v>
      </c>
      <c r="C806" t="s">
        <v>13</v>
      </c>
      <c r="D806" s="2">
        <v>0.40347222222222223</v>
      </c>
      <c r="E806">
        <v>20601.919999999998</v>
      </c>
      <c r="F806" s="2">
        <v>0.40416666666666667</v>
      </c>
      <c r="G806">
        <v>20565.87</v>
      </c>
      <c r="H806">
        <v>20616.34</v>
      </c>
      <c r="I806">
        <v>20565.87</v>
      </c>
      <c r="J806" t="s">
        <v>14</v>
      </c>
      <c r="K806">
        <v>36.049999999999997</v>
      </c>
      <c r="L806" s="9">
        <v>2.5</v>
      </c>
      <c r="M806">
        <v>1</v>
      </c>
      <c r="N806">
        <f t="shared" si="24"/>
        <v>0</v>
      </c>
      <c r="O806">
        <f t="shared" si="25"/>
        <v>1</v>
      </c>
    </row>
    <row r="807" spans="1:15" x14ac:dyDescent="0.2">
      <c r="A807" s="1">
        <v>45617</v>
      </c>
      <c r="B807">
        <v>4</v>
      </c>
      <c r="C807" t="s">
        <v>13</v>
      </c>
      <c r="D807" s="2">
        <v>0.41875000000000001</v>
      </c>
      <c r="E807">
        <v>20549.82</v>
      </c>
      <c r="F807" s="2">
        <v>0.4201388888888889</v>
      </c>
      <c r="G807">
        <v>20513.86</v>
      </c>
      <c r="H807">
        <v>20564.2</v>
      </c>
      <c r="I807">
        <v>20513.86</v>
      </c>
      <c r="J807" t="s">
        <v>14</v>
      </c>
      <c r="K807">
        <v>35.96</v>
      </c>
      <c r="L807" s="9">
        <v>2.5</v>
      </c>
      <c r="M807">
        <v>1</v>
      </c>
      <c r="N807">
        <f t="shared" si="24"/>
        <v>0</v>
      </c>
      <c r="O807">
        <f t="shared" si="25"/>
        <v>2</v>
      </c>
    </row>
    <row r="808" spans="1:15" x14ac:dyDescent="0.2">
      <c r="A808" s="1">
        <v>45617</v>
      </c>
      <c r="B808">
        <v>4</v>
      </c>
      <c r="C808" t="s">
        <v>13</v>
      </c>
      <c r="D808" s="2">
        <v>0.43888888888888888</v>
      </c>
      <c r="E808">
        <v>20453.29</v>
      </c>
      <c r="F808" s="2">
        <v>0.43958333333333333</v>
      </c>
      <c r="G808">
        <v>20467.599999999999</v>
      </c>
      <c r="H808">
        <v>20467.599999999999</v>
      </c>
      <c r="I808">
        <v>20417.490000000002</v>
      </c>
      <c r="J808" t="s">
        <v>15</v>
      </c>
      <c r="K808">
        <v>-14.32</v>
      </c>
      <c r="L808" s="9">
        <v>-1</v>
      </c>
      <c r="M808">
        <v>0</v>
      </c>
      <c r="N808">
        <f t="shared" si="24"/>
        <v>1</v>
      </c>
      <c r="O808">
        <f t="shared" si="25"/>
        <v>0</v>
      </c>
    </row>
    <row r="809" spans="1:15" x14ac:dyDescent="0.2">
      <c r="A809" s="1">
        <v>45621</v>
      </c>
      <c r="B809">
        <v>1</v>
      </c>
      <c r="C809" t="s">
        <v>13</v>
      </c>
      <c r="D809" s="2">
        <v>0.41944444444444445</v>
      </c>
      <c r="E809">
        <v>20845.48</v>
      </c>
      <c r="F809" s="2">
        <v>0.42083333333333334</v>
      </c>
      <c r="G809">
        <v>20860.07</v>
      </c>
      <c r="H809">
        <v>20860.07</v>
      </c>
      <c r="I809">
        <v>20809</v>
      </c>
      <c r="J809" t="s">
        <v>15</v>
      </c>
      <c r="K809">
        <v>-14.59</v>
      </c>
      <c r="L809" s="9">
        <v>-1</v>
      </c>
      <c r="M809">
        <v>0</v>
      </c>
      <c r="N809">
        <f t="shared" si="24"/>
        <v>2</v>
      </c>
      <c r="O809">
        <f t="shared" si="25"/>
        <v>0</v>
      </c>
    </row>
    <row r="810" spans="1:15" x14ac:dyDescent="0.2">
      <c r="A810" s="1">
        <v>45623</v>
      </c>
      <c r="B810">
        <v>3</v>
      </c>
      <c r="C810" t="s">
        <v>13</v>
      </c>
      <c r="D810" s="2">
        <v>0.4</v>
      </c>
      <c r="E810">
        <v>20817.240000000002</v>
      </c>
      <c r="F810" s="2">
        <v>0.41180555555555554</v>
      </c>
      <c r="G810">
        <v>20780.810000000001</v>
      </c>
      <c r="H810">
        <v>20831.810000000001</v>
      </c>
      <c r="I810">
        <v>20780.810000000001</v>
      </c>
      <c r="J810" t="s">
        <v>14</v>
      </c>
      <c r="K810">
        <v>36.43</v>
      </c>
      <c r="L810" s="9">
        <v>2.5</v>
      </c>
      <c r="M810">
        <v>1</v>
      </c>
      <c r="N810">
        <f t="shared" si="24"/>
        <v>0</v>
      </c>
      <c r="O810">
        <f t="shared" si="25"/>
        <v>1</v>
      </c>
    </row>
    <row r="811" spans="1:15" x14ac:dyDescent="0.2">
      <c r="A811" s="1">
        <v>45624</v>
      </c>
      <c r="B811">
        <v>4</v>
      </c>
      <c r="C811" t="s">
        <v>16</v>
      </c>
      <c r="D811" s="2">
        <v>0.39930555555555558</v>
      </c>
      <c r="E811">
        <v>20816.07</v>
      </c>
      <c r="F811" s="2">
        <v>0.64583333333333337</v>
      </c>
      <c r="G811">
        <v>20815.900000000001</v>
      </c>
      <c r="H811">
        <v>20801.5</v>
      </c>
      <c r="I811">
        <v>20852.5</v>
      </c>
      <c r="J811" t="s">
        <v>18</v>
      </c>
      <c r="K811">
        <v>-0.17</v>
      </c>
      <c r="L811" s="9">
        <v>-1.1604066E-2</v>
      </c>
      <c r="M811">
        <v>0</v>
      </c>
      <c r="N811">
        <f t="shared" si="24"/>
        <v>1</v>
      </c>
      <c r="O811">
        <f t="shared" si="25"/>
        <v>0</v>
      </c>
    </row>
    <row r="812" spans="1:15" x14ac:dyDescent="0.2">
      <c r="A812" s="1">
        <v>45625</v>
      </c>
      <c r="B812">
        <v>5</v>
      </c>
      <c r="C812" t="s">
        <v>16</v>
      </c>
      <c r="D812" s="2">
        <v>0.41805555555555557</v>
      </c>
      <c r="E812">
        <v>20851.580000000002</v>
      </c>
      <c r="F812" s="2">
        <v>0.4236111111111111</v>
      </c>
      <c r="G812">
        <v>20888.07</v>
      </c>
      <c r="H812">
        <v>20836.98</v>
      </c>
      <c r="I812">
        <v>20888.07</v>
      </c>
      <c r="J812" t="s">
        <v>14</v>
      </c>
      <c r="K812">
        <v>36.49</v>
      </c>
      <c r="L812" s="9">
        <v>2.5</v>
      </c>
      <c r="M812">
        <v>1</v>
      </c>
      <c r="N812">
        <f t="shared" si="24"/>
        <v>0</v>
      </c>
      <c r="O812">
        <f t="shared" si="25"/>
        <v>1</v>
      </c>
    </row>
    <row r="813" spans="1:15" x14ac:dyDescent="0.2">
      <c r="A813" s="1">
        <v>45629</v>
      </c>
      <c r="B813">
        <v>2</v>
      </c>
      <c r="C813" t="s">
        <v>13</v>
      </c>
      <c r="D813" s="2">
        <v>0.3972222222222222</v>
      </c>
      <c r="E813">
        <v>21099.200000000001</v>
      </c>
      <c r="F813" s="2">
        <v>0.39861111111111114</v>
      </c>
      <c r="G813">
        <v>21113.97</v>
      </c>
      <c r="H813">
        <v>21113.97</v>
      </c>
      <c r="I813">
        <v>21062.27</v>
      </c>
      <c r="J813" t="s">
        <v>15</v>
      </c>
      <c r="K813">
        <v>-14.77</v>
      </c>
      <c r="L813" s="9">
        <v>-1</v>
      </c>
      <c r="M813">
        <v>0</v>
      </c>
      <c r="N813">
        <f t="shared" si="24"/>
        <v>1</v>
      </c>
      <c r="O813">
        <f t="shared" si="25"/>
        <v>0</v>
      </c>
    </row>
    <row r="814" spans="1:15" x14ac:dyDescent="0.2">
      <c r="A814" s="1">
        <v>45629</v>
      </c>
      <c r="B814">
        <v>2</v>
      </c>
      <c r="C814" t="s">
        <v>16</v>
      </c>
      <c r="D814" s="2">
        <v>0.40902777777777777</v>
      </c>
      <c r="E814">
        <v>21138.77</v>
      </c>
      <c r="F814" s="2">
        <v>0.42083333333333334</v>
      </c>
      <c r="G814">
        <v>21175.77</v>
      </c>
      <c r="H814">
        <v>21123.98</v>
      </c>
      <c r="I814">
        <v>21175.77</v>
      </c>
      <c r="J814" t="s">
        <v>14</v>
      </c>
      <c r="K814">
        <v>36.99</v>
      </c>
      <c r="L814" s="9">
        <v>2.5</v>
      </c>
      <c r="M814">
        <v>1</v>
      </c>
      <c r="N814">
        <f t="shared" si="24"/>
        <v>0</v>
      </c>
      <c r="O814">
        <f t="shared" si="25"/>
        <v>1</v>
      </c>
    </row>
    <row r="815" spans="1:15" x14ac:dyDescent="0.2">
      <c r="A815" s="1">
        <v>45629</v>
      </c>
      <c r="B815">
        <v>2</v>
      </c>
      <c r="C815" t="s">
        <v>13</v>
      </c>
      <c r="D815" s="2">
        <v>0.43680555555555556</v>
      </c>
      <c r="E815">
        <v>21129.57</v>
      </c>
      <c r="F815" s="2">
        <v>0.43958333333333333</v>
      </c>
      <c r="G815">
        <v>21144.36</v>
      </c>
      <c r="H815">
        <v>21144.36</v>
      </c>
      <c r="I815">
        <v>21092.59</v>
      </c>
      <c r="J815" t="s">
        <v>15</v>
      </c>
      <c r="K815">
        <v>-14.79</v>
      </c>
      <c r="L815" s="9">
        <v>-1</v>
      </c>
      <c r="M815">
        <v>0</v>
      </c>
      <c r="N815">
        <f t="shared" si="24"/>
        <v>1</v>
      </c>
      <c r="O815">
        <f t="shared" si="25"/>
        <v>0</v>
      </c>
    </row>
    <row r="816" spans="1:15" x14ac:dyDescent="0.2">
      <c r="A816" s="1">
        <v>45631</v>
      </c>
      <c r="B816">
        <v>4</v>
      </c>
      <c r="C816" t="s">
        <v>16</v>
      </c>
      <c r="D816" s="2">
        <v>0.39583333333333331</v>
      </c>
      <c r="E816">
        <v>21481.08</v>
      </c>
      <c r="F816" s="2">
        <v>0.40972222222222221</v>
      </c>
      <c r="G816">
        <v>21466.04</v>
      </c>
      <c r="H816">
        <v>21466.04</v>
      </c>
      <c r="I816">
        <v>21518.67</v>
      </c>
      <c r="J816" t="s">
        <v>15</v>
      </c>
      <c r="K816">
        <v>-15.04</v>
      </c>
      <c r="L816" s="9">
        <v>-1</v>
      </c>
      <c r="M816">
        <v>0</v>
      </c>
      <c r="N816">
        <f t="shared" si="24"/>
        <v>2</v>
      </c>
      <c r="O816">
        <f t="shared" si="25"/>
        <v>0</v>
      </c>
    </row>
    <row r="817" spans="1:15" x14ac:dyDescent="0.2">
      <c r="A817" s="1">
        <v>45631</v>
      </c>
      <c r="B817">
        <v>4</v>
      </c>
      <c r="C817" t="s">
        <v>13</v>
      </c>
      <c r="D817" s="2">
        <v>0.41597222222222224</v>
      </c>
      <c r="E817">
        <v>21456.2</v>
      </c>
      <c r="F817" s="2">
        <v>0.41736111111111113</v>
      </c>
      <c r="G817">
        <v>21471.22</v>
      </c>
      <c r="H817">
        <v>21471.22</v>
      </c>
      <c r="I817">
        <v>21418.65</v>
      </c>
      <c r="J817" t="s">
        <v>15</v>
      </c>
      <c r="K817">
        <v>-15.02</v>
      </c>
      <c r="L817" s="9">
        <v>-1</v>
      </c>
      <c r="M817">
        <v>0</v>
      </c>
      <c r="N817">
        <f t="shared" si="24"/>
        <v>3</v>
      </c>
      <c r="O817">
        <f t="shared" si="25"/>
        <v>0</v>
      </c>
    </row>
    <row r="818" spans="1:15" x14ac:dyDescent="0.2">
      <c r="A818" s="1">
        <v>45632</v>
      </c>
      <c r="B818">
        <v>5</v>
      </c>
      <c r="C818" t="s">
        <v>16</v>
      </c>
      <c r="D818" s="2">
        <v>0.40138888888888891</v>
      </c>
      <c r="E818">
        <v>21481.42</v>
      </c>
      <c r="F818" s="2">
        <v>0.40625</v>
      </c>
      <c r="G818">
        <v>21519.01</v>
      </c>
      <c r="H818">
        <v>21466.38</v>
      </c>
      <c r="I818">
        <v>21519.01</v>
      </c>
      <c r="J818" t="s">
        <v>14</v>
      </c>
      <c r="K818">
        <v>37.590000000000003</v>
      </c>
      <c r="L818" s="9">
        <v>2.5</v>
      </c>
      <c r="M818">
        <v>1</v>
      </c>
      <c r="N818">
        <f t="shared" si="24"/>
        <v>0</v>
      </c>
      <c r="O818">
        <f t="shared" si="25"/>
        <v>1</v>
      </c>
    </row>
    <row r="819" spans="1:15" x14ac:dyDescent="0.2">
      <c r="A819" s="1">
        <v>45632</v>
      </c>
      <c r="B819">
        <v>5</v>
      </c>
      <c r="C819" t="s">
        <v>13</v>
      </c>
      <c r="D819" s="2">
        <v>0.4548611111111111</v>
      </c>
      <c r="E819">
        <v>21559.52</v>
      </c>
      <c r="F819" s="2">
        <v>0.45555555555555555</v>
      </c>
      <c r="G819">
        <v>21574.62</v>
      </c>
      <c r="H819">
        <v>21574.62</v>
      </c>
      <c r="I819">
        <v>21521.8</v>
      </c>
      <c r="J819" t="s">
        <v>15</v>
      </c>
      <c r="K819">
        <v>-15.09</v>
      </c>
      <c r="L819" s="9">
        <v>-1</v>
      </c>
      <c r="M819">
        <v>0</v>
      </c>
      <c r="N819">
        <f t="shared" si="24"/>
        <v>1</v>
      </c>
      <c r="O819">
        <f t="shared" si="25"/>
        <v>0</v>
      </c>
    </row>
    <row r="820" spans="1:15" x14ac:dyDescent="0.2">
      <c r="A820" s="1">
        <v>45635</v>
      </c>
      <c r="B820">
        <v>1</v>
      </c>
      <c r="C820" t="s">
        <v>13</v>
      </c>
      <c r="D820" s="2">
        <v>0.4375</v>
      </c>
      <c r="E820">
        <v>21524.19</v>
      </c>
      <c r="F820" s="2">
        <v>0.44236111111111109</v>
      </c>
      <c r="G820">
        <v>21486.52</v>
      </c>
      <c r="H820">
        <v>21539.25</v>
      </c>
      <c r="I820">
        <v>21486.52</v>
      </c>
      <c r="J820" t="s">
        <v>14</v>
      </c>
      <c r="K820">
        <v>37.67</v>
      </c>
      <c r="L820" s="9">
        <v>2.5</v>
      </c>
      <c r="M820">
        <v>1</v>
      </c>
      <c r="N820">
        <f t="shared" si="24"/>
        <v>0</v>
      </c>
      <c r="O820">
        <f t="shared" si="25"/>
        <v>1</v>
      </c>
    </row>
    <row r="821" spans="1:15" x14ac:dyDescent="0.2">
      <c r="A821" s="1">
        <v>45636</v>
      </c>
      <c r="B821">
        <v>2</v>
      </c>
      <c r="C821" t="s">
        <v>16</v>
      </c>
      <c r="D821" s="2">
        <v>0.40833333333333333</v>
      </c>
      <c r="E821">
        <v>21537.91</v>
      </c>
      <c r="F821" s="2">
        <v>0.40972222222222221</v>
      </c>
      <c r="G821">
        <v>21522.84</v>
      </c>
      <c r="H821">
        <v>21522.84</v>
      </c>
      <c r="I821">
        <v>21575.61</v>
      </c>
      <c r="J821" t="s">
        <v>15</v>
      </c>
      <c r="K821">
        <v>-15.08</v>
      </c>
      <c r="L821" s="9">
        <v>-1</v>
      </c>
      <c r="M821">
        <v>0</v>
      </c>
      <c r="N821">
        <f t="shared" si="24"/>
        <v>1</v>
      </c>
      <c r="O821">
        <f t="shared" si="25"/>
        <v>0</v>
      </c>
    </row>
    <row r="822" spans="1:15" x14ac:dyDescent="0.2">
      <c r="A822" s="1">
        <v>45636</v>
      </c>
      <c r="B822">
        <v>2</v>
      </c>
      <c r="C822" t="s">
        <v>16</v>
      </c>
      <c r="D822" s="2">
        <v>0.4236111111111111</v>
      </c>
      <c r="E822">
        <v>21549.040000000001</v>
      </c>
      <c r="F822" s="2">
        <v>0.43472222222222223</v>
      </c>
      <c r="G822">
        <v>21533.95</v>
      </c>
      <c r="H822">
        <v>21533.95</v>
      </c>
      <c r="I822">
        <v>21586.75</v>
      </c>
      <c r="J822" t="s">
        <v>15</v>
      </c>
      <c r="K822">
        <v>-15.08</v>
      </c>
      <c r="L822" s="9">
        <v>-1</v>
      </c>
      <c r="M822">
        <v>0</v>
      </c>
      <c r="N822">
        <f t="shared" si="24"/>
        <v>2</v>
      </c>
      <c r="O822">
        <f t="shared" si="25"/>
        <v>0</v>
      </c>
    </row>
    <row r="823" spans="1:15" x14ac:dyDescent="0.2">
      <c r="A823" s="1">
        <v>45636</v>
      </c>
      <c r="B823">
        <v>2</v>
      </c>
      <c r="C823" t="s">
        <v>13</v>
      </c>
      <c r="D823" s="2">
        <v>0.45277777777777778</v>
      </c>
      <c r="E823">
        <v>21501.97</v>
      </c>
      <c r="F823" s="2">
        <v>0.45694444444444443</v>
      </c>
      <c r="G823">
        <v>21464.34</v>
      </c>
      <c r="H823">
        <v>21517.02</v>
      </c>
      <c r="I823">
        <v>21464.34</v>
      </c>
      <c r="J823" t="s">
        <v>14</v>
      </c>
      <c r="K823">
        <v>37.630000000000003</v>
      </c>
      <c r="L823" s="9">
        <v>2.5</v>
      </c>
      <c r="M823">
        <v>1</v>
      </c>
      <c r="N823">
        <f t="shared" si="24"/>
        <v>0</v>
      </c>
      <c r="O823">
        <f t="shared" si="25"/>
        <v>1</v>
      </c>
    </row>
    <row r="824" spans="1:15" x14ac:dyDescent="0.2">
      <c r="A824" s="1">
        <v>45637</v>
      </c>
      <c r="B824">
        <v>3</v>
      </c>
      <c r="C824" t="s">
        <v>16</v>
      </c>
      <c r="D824" s="2">
        <v>0.39583333333333331</v>
      </c>
      <c r="E824">
        <v>21545.77</v>
      </c>
      <c r="F824" s="2">
        <v>0.4</v>
      </c>
      <c r="G824">
        <v>21583.48</v>
      </c>
      <c r="H824">
        <v>21530.69</v>
      </c>
      <c r="I824">
        <v>21583.48</v>
      </c>
      <c r="J824" t="s">
        <v>14</v>
      </c>
      <c r="K824">
        <v>37.71</v>
      </c>
      <c r="L824" s="9">
        <v>2.5</v>
      </c>
      <c r="M824">
        <v>1</v>
      </c>
      <c r="N824">
        <f t="shared" si="24"/>
        <v>0</v>
      </c>
      <c r="O824">
        <f t="shared" si="25"/>
        <v>2</v>
      </c>
    </row>
    <row r="825" spans="1:15" x14ac:dyDescent="0.2">
      <c r="A825" s="1">
        <v>45637</v>
      </c>
      <c r="B825">
        <v>3</v>
      </c>
      <c r="C825" t="s">
        <v>16</v>
      </c>
      <c r="D825" s="2">
        <v>0.44444444444444442</v>
      </c>
      <c r="E825">
        <v>21684.560000000001</v>
      </c>
      <c r="F825" s="2">
        <v>0.4465277777777778</v>
      </c>
      <c r="G825">
        <v>21669.38</v>
      </c>
      <c r="H825">
        <v>21669.38</v>
      </c>
      <c r="I825">
        <v>21722.51</v>
      </c>
      <c r="J825" t="s">
        <v>15</v>
      </c>
      <c r="K825">
        <v>-15.18</v>
      </c>
      <c r="L825" s="9">
        <v>-1</v>
      </c>
      <c r="M825">
        <v>0</v>
      </c>
      <c r="N825">
        <f t="shared" si="24"/>
        <v>1</v>
      </c>
      <c r="O825">
        <f t="shared" si="25"/>
        <v>0</v>
      </c>
    </row>
    <row r="826" spans="1:15" x14ac:dyDescent="0.2">
      <c r="A826" s="1">
        <v>45637</v>
      </c>
      <c r="B826">
        <v>3</v>
      </c>
      <c r="C826" t="s">
        <v>13</v>
      </c>
      <c r="D826" s="2">
        <v>0.45763888888888887</v>
      </c>
      <c r="E826">
        <v>21647.13</v>
      </c>
      <c r="F826" s="2">
        <v>0.45833333333333331</v>
      </c>
      <c r="G826">
        <v>21662.29</v>
      </c>
      <c r="H826">
        <v>21662.29</v>
      </c>
      <c r="I826">
        <v>21609.25</v>
      </c>
      <c r="J826" t="s">
        <v>15</v>
      </c>
      <c r="K826">
        <v>-15.15</v>
      </c>
      <c r="L826" s="9">
        <v>-1</v>
      </c>
      <c r="M826">
        <v>0</v>
      </c>
      <c r="N826">
        <f t="shared" si="24"/>
        <v>2</v>
      </c>
      <c r="O826">
        <f t="shared" si="25"/>
        <v>0</v>
      </c>
    </row>
    <row r="827" spans="1:15" x14ac:dyDescent="0.2">
      <c r="A827" s="1">
        <v>45638</v>
      </c>
      <c r="B827">
        <v>4</v>
      </c>
      <c r="C827" t="s">
        <v>16</v>
      </c>
      <c r="D827" s="2">
        <v>0.39583333333333331</v>
      </c>
      <c r="E827">
        <v>21658.49</v>
      </c>
      <c r="F827" s="2">
        <v>0.39652777777777776</v>
      </c>
      <c r="G827">
        <v>21643.33</v>
      </c>
      <c r="H827">
        <v>21643.33</v>
      </c>
      <c r="I827">
        <v>21696.39</v>
      </c>
      <c r="J827" t="s">
        <v>15</v>
      </c>
      <c r="K827">
        <v>-15.16</v>
      </c>
      <c r="L827" s="9">
        <v>-1</v>
      </c>
      <c r="M827">
        <v>0</v>
      </c>
      <c r="N827">
        <f t="shared" si="24"/>
        <v>3</v>
      </c>
      <c r="O827">
        <f t="shared" si="25"/>
        <v>0</v>
      </c>
    </row>
    <row r="828" spans="1:15" x14ac:dyDescent="0.2">
      <c r="A828" s="1">
        <v>45638</v>
      </c>
      <c r="B828">
        <v>4</v>
      </c>
      <c r="C828" t="s">
        <v>16</v>
      </c>
      <c r="D828" s="2">
        <v>0.44513888888888886</v>
      </c>
      <c r="E828">
        <v>21682.37</v>
      </c>
      <c r="F828" s="2">
        <v>0.44583333333333336</v>
      </c>
      <c r="G828">
        <v>21667.19</v>
      </c>
      <c r="H828">
        <v>21667.19</v>
      </c>
      <c r="I828">
        <v>21720.32</v>
      </c>
      <c r="J828" t="s">
        <v>15</v>
      </c>
      <c r="K828">
        <v>-15.18</v>
      </c>
      <c r="L828" s="9">
        <v>-1</v>
      </c>
      <c r="M828">
        <v>0</v>
      </c>
      <c r="N828">
        <f t="shared" si="24"/>
        <v>4</v>
      </c>
      <c r="O828">
        <f t="shared" si="25"/>
        <v>0</v>
      </c>
    </row>
    <row r="829" spans="1:15" x14ac:dyDescent="0.2">
      <c r="A829" s="1">
        <v>45639</v>
      </c>
      <c r="B829">
        <v>5</v>
      </c>
      <c r="C829" t="s">
        <v>16</v>
      </c>
      <c r="D829" s="2">
        <v>0.40763888888888888</v>
      </c>
      <c r="E829">
        <v>21862.77</v>
      </c>
      <c r="F829" s="2">
        <v>0.41319444444444442</v>
      </c>
      <c r="G829">
        <v>21847.47</v>
      </c>
      <c r="H829">
        <v>21847.47</v>
      </c>
      <c r="I829">
        <v>21901.03</v>
      </c>
      <c r="J829" t="s">
        <v>15</v>
      </c>
      <c r="K829">
        <v>-15.3</v>
      </c>
      <c r="L829" s="9">
        <v>-1</v>
      </c>
      <c r="M829">
        <v>0</v>
      </c>
      <c r="N829">
        <f t="shared" si="24"/>
        <v>5</v>
      </c>
      <c r="O829">
        <f t="shared" si="25"/>
        <v>0</v>
      </c>
    </row>
    <row r="830" spans="1:15" x14ac:dyDescent="0.2">
      <c r="A830" s="1">
        <v>45639</v>
      </c>
      <c r="B830">
        <v>5</v>
      </c>
      <c r="C830" t="s">
        <v>13</v>
      </c>
      <c r="D830" s="2">
        <v>0.43125000000000002</v>
      </c>
      <c r="E830">
        <v>21819.23</v>
      </c>
      <c r="F830" s="2">
        <v>0.43541666666666667</v>
      </c>
      <c r="G830">
        <v>21781.05</v>
      </c>
      <c r="H830">
        <v>21834.5</v>
      </c>
      <c r="I830">
        <v>21781.05</v>
      </c>
      <c r="J830" t="s">
        <v>14</v>
      </c>
      <c r="K830">
        <v>38.18</v>
      </c>
      <c r="L830" s="9">
        <v>2.5</v>
      </c>
      <c r="M830">
        <v>1</v>
      </c>
      <c r="N830">
        <f t="shared" si="24"/>
        <v>0</v>
      </c>
      <c r="O830">
        <f t="shared" si="25"/>
        <v>1</v>
      </c>
    </row>
    <row r="831" spans="1:15" x14ac:dyDescent="0.2">
      <c r="A831" s="1">
        <v>45643</v>
      </c>
      <c r="B831">
        <v>2</v>
      </c>
      <c r="C831" t="s">
        <v>13</v>
      </c>
      <c r="D831" s="2">
        <v>0.3972222222222222</v>
      </c>
      <c r="E831">
        <v>22004.2</v>
      </c>
      <c r="F831" s="2">
        <v>0.40069444444444446</v>
      </c>
      <c r="G831">
        <v>21965.69</v>
      </c>
      <c r="H831">
        <v>22019.599999999999</v>
      </c>
      <c r="I831">
        <v>21965.69</v>
      </c>
      <c r="J831" t="s">
        <v>14</v>
      </c>
      <c r="K831">
        <v>38.51</v>
      </c>
      <c r="L831" s="9">
        <v>2.5</v>
      </c>
      <c r="M831">
        <v>1</v>
      </c>
      <c r="N831">
        <f t="shared" si="24"/>
        <v>0</v>
      </c>
      <c r="O831">
        <f t="shared" si="25"/>
        <v>2</v>
      </c>
    </row>
    <row r="832" spans="1:15" x14ac:dyDescent="0.2">
      <c r="A832" s="1">
        <v>45643</v>
      </c>
      <c r="B832">
        <v>2</v>
      </c>
      <c r="C832" t="s">
        <v>13</v>
      </c>
      <c r="D832" s="2">
        <v>0.42708333333333331</v>
      </c>
      <c r="E832">
        <v>21960.92</v>
      </c>
      <c r="F832" s="2">
        <v>0.44444444444444442</v>
      </c>
      <c r="G832">
        <v>21976.29</v>
      </c>
      <c r="H832">
        <v>21976.29</v>
      </c>
      <c r="I832">
        <v>21922.49</v>
      </c>
      <c r="J832" t="s">
        <v>15</v>
      </c>
      <c r="K832">
        <v>-15.37</v>
      </c>
      <c r="L832" s="9">
        <v>-1</v>
      </c>
      <c r="M832">
        <v>0</v>
      </c>
      <c r="N832">
        <f t="shared" si="24"/>
        <v>1</v>
      </c>
      <c r="O832">
        <f t="shared" si="25"/>
        <v>0</v>
      </c>
    </row>
    <row r="833" spans="1:15" x14ac:dyDescent="0.2">
      <c r="A833" s="1">
        <v>45643</v>
      </c>
      <c r="B833">
        <v>2</v>
      </c>
      <c r="C833" t="s">
        <v>16</v>
      </c>
      <c r="D833" s="2">
        <v>0.4513888888888889</v>
      </c>
      <c r="E833">
        <v>21980.45</v>
      </c>
      <c r="F833" s="2">
        <v>0.46458333333333335</v>
      </c>
      <c r="G833">
        <v>22018.92</v>
      </c>
      <c r="H833">
        <v>21965.06</v>
      </c>
      <c r="I833">
        <v>22018.92</v>
      </c>
      <c r="J833" t="s">
        <v>14</v>
      </c>
      <c r="K833">
        <v>38.47</v>
      </c>
      <c r="L833" s="9">
        <v>2.5</v>
      </c>
      <c r="M833">
        <v>1</v>
      </c>
      <c r="N833">
        <f t="shared" si="24"/>
        <v>0</v>
      </c>
      <c r="O833">
        <f t="shared" si="25"/>
        <v>1</v>
      </c>
    </row>
    <row r="834" spans="1:15" x14ac:dyDescent="0.2">
      <c r="A834" s="1">
        <v>45645</v>
      </c>
      <c r="B834">
        <v>4</v>
      </c>
      <c r="C834" t="s">
        <v>16</v>
      </c>
      <c r="D834" s="2">
        <v>0.39583333333333331</v>
      </c>
      <c r="E834">
        <v>21374.32</v>
      </c>
      <c r="F834" s="2">
        <v>0.3972222222222222</v>
      </c>
      <c r="G834">
        <v>21359.360000000001</v>
      </c>
      <c r="H834">
        <v>21359.360000000001</v>
      </c>
      <c r="I834">
        <v>21411.73</v>
      </c>
      <c r="J834" t="s">
        <v>15</v>
      </c>
      <c r="K834">
        <v>-14.96</v>
      </c>
      <c r="L834" s="9">
        <v>-1</v>
      </c>
      <c r="M834">
        <v>0</v>
      </c>
      <c r="N834">
        <f t="shared" ref="N834:N897" si="26">IF(M834=0, IF(M833=0, N833+1, 1), 0)</f>
        <v>1</v>
      </c>
      <c r="O834">
        <f t="shared" ref="O834:O897" si="27">IF(M834=1, IF(M833=1, O833+1, 1), 0)</f>
        <v>0</v>
      </c>
    </row>
    <row r="835" spans="1:15" x14ac:dyDescent="0.2">
      <c r="A835" s="1">
        <v>45645</v>
      </c>
      <c r="B835">
        <v>4</v>
      </c>
      <c r="C835" t="s">
        <v>13</v>
      </c>
      <c r="D835" s="2">
        <v>0.41180555555555554</v>
      </c>
      <c r="E835">
        <v>21308.23</v>
      </c>
      <c r="F835" s="2">
        <v>0.41249999999999998</v>
      </c>
      <c r="G835">
        <v>21270.94</v>
      </c>
      <c r="H835">
        <v>21323.15</v>
      </c>
      <c r="I835">
        <v>21270.94</v>
      </c>
      <c r="J835" t="s">
        <v>14</v>
      </c>
      <c r="K835">
        <v>37.29</v>
      </c>
      <c r="L835" s="9">
        <v>2.5</v>
      </c>
      <c r="M835">
        <v>1</v>
      </c>
      <c r="N835">
        <f t="shared" si="26"/>
        <v>0</v>
      </c>
      <c r="O835">
        <f t="shared" si="27"/>
        <v>1</v>
      </c>
    </row>
    <row r="836" spans="1:15" x14ac:dyDescent="0.2">
      <c r="A836" s="1">
        <v>45645</v>
      </c>
      <c r="B836">
        <v>4</v>
      </c>
      <c r="C836" t="s">
        <v>13</v>
      </c>
      <c r="D836" s="2">
        <v>0.43888888888888888</v>
      </c>
      <c r="E836">
        <v>21214.44</v>
      </c>
      <c r="F836" s="2">
        <v>0.44166666666666665</v>
      </c>
      <c r="G836">
        <v>21177.32</v>
      </c>
      <c r="H836">
        <v>21229.29</v>
      </c>
      <c r="I836">
        <v>21177.32</v>
      </c>
      <c r="J836" t="s">
        <v>14</v>
      </c>
      <c r="K836">
        <v>37.130000000000003</v>
      </c>
      <c r="L836" s="9">
        <v>2.5</v>
      </c>
      <c r="M836">
        <v>1</v>
      </c>
      <c r="N836">
        <f t="shared" si="26"/>
        <v>0</v>
      </c>
      <c r="O836">
        <f t="shared" si="27"/>
        <v>2</v>
      </c>
    </row>
    <row r="837" spans="1:15" x14ac:dyDescent="0.2">
      <c r="A837" s="1">
        <v>45646</v>
      </c>
      <c r="B837">
        <v>5</v>
      </c>
      <c r="C837" t="s">
        <v>16</v>
      </c>
      <c r="D837" s="2">
        <v>0.42152777777777778</v>
      </c>
      <c r="E837">
        <v>21016.35</v>
      </c>
      <c r="F837" s="2">
        <v>0.42222222222222222</v>
      </c>
      <c r="G837">
        <v>21001.64</v>
      </c>
      <c r="H837">
        <v>21001.64</v>
      </c>
      <c r="I837">
        <v>21053.13</v>
      </c>
      <c r="J837" t="s">
        <v>15</v>
      </c>
      <c r="K837">
        <v>-14.71</v>
      </c>
      <c r="L837" s="9">
        <v>-1</v>
      </c>
      <c r="M837">
        <v>0</v>
      </c>
      <c r="N837">
        <f t="shared" si="26"/>
        <v>1</v>
      </c>
      <c r="O837">
        <f t="shared" si="27"/>
        <v>0</v>
      </c>
    </row>
    <row r="838" spans="1:15" x14ac:dyDescent="0.2">
      <c r="A838" s="1">
        <v>45649</v>
      </c>
      <c r="B838">
        <v>1</v>
      </c>
      <c r="C838" t="s">
        <v>16</v>
      </c>
      <c r="D838" s="2">
        <v>0.39583333333333331</v>
      </c>
      <c r="E838">
        <v>21345.52</v>
      </c>
      <c r="F838" s="2">
        <v>0.39652777777777776</v>
      </c>
      <c r="G838">
        <v>21382.87</v>
      </c>
      <c r="H838">
        <v>21330.58</v>
      </c>
      <c r="I838">
        <v>21382.87</v>
      </c>
      <c r="J838" t="s">
        <v>14</v>
      </c>
      <c r="K838">
        <v>37.35</v>
      </c>
      <c r="L838" s="9">
        <v>2.5</v>
      </c>
      <c r="M838">
        <v>1</v>
      </c>
      <c r="N838">
        <f t="shared" si="26"/>
        <v>0</v>
      </c>
      <c r="O838">
        <f t="shared" si="27"/>
        <v>1</v>
      </c>
    </row>
    <row r="839" spans="1:15" x14ac:dyDescent="0.2">
      <c r="A839" s="1">
        <v>45649</v>
      </c>
      <c r="B839">
        <v>1</v>
      </c>
      <c r="C839" t="s">
        <v>13</v>
      </c>
      <c r="D839" s="2">
        <v>0.42499999999999999</v>
      </c>
      <c r="E839">
        <v>21248.55</v>
      </c>
      <c r="F839" s="2">
        <v>0.42569444444444443</v>
      </c>
      <c r="G839">
        <v>21263.42</v>
      </c>
      <c r="H839">
        <v>21263.42</v>
      </c>
      <c r="I839">
        <v>21211.360000000001</v>
      </c>
      <c r="J839" t="s">
        <v>15</v>
      </c>
      <c r="K839">
        <v>-14.87</v>
      </c>
      <c r="L839" s="9">
        <v>-1</v>
      </c>
      <c r="M839">
        <v>0</v>
      </c>
      <c r="N839">
        <f t="shared" si="26"/>
        <v>1</v>
      </c>
      <c r="O839">
        <f t="shared" si="27"/>
        <v>0</v>
      </c>
    </row>
    <row r="840" spans="1:15" x14ac:dyDescent="0.2">
      <c r="A840" s="1">
        <v>45650</v>
      </c>
      <c r="B840">
        <v>2</v>
      </c>
      <c r="C840" t="s">
        <v>16</v>
      </c>
      <c r="D840" s="2">
        <v>0.40902777777777777</v>
      </c>
      <c r="E840">
        <v>21614.99</v>
      </c>
      <c r="F840" s="2">
        <v>0.40972222222222221</v>
      </c>
      <c r="G840">
        <v>21599.86</v>
      </c>
      <c r="H840">
        <v>21599.86</v>
      </c>
      <c r="I840">
        <v>21652.81</v>
      </c>
      <c r="J840" t="s">
        <v>15</v>
      </c>
      <c r="K840">
        <v>-15.13</v>
      </c>
      <c r="L840" s="9">
        <v>-1</v>
      </c>
      <c r="M840">
        <v>0</v>
      </c>
      <c r="N840">
        <f t="shared" si="26"/>
        <v>2</v>
      </c>
      <c r="O840">
        <f t="shared" si="27"/>
        <v>0</v>
      </c>
    </row>
    <row r="841" spans="1:15" x14ac:dyDescent="0.2">
      <c r="A841" s="1">
        <v>45650</v>
      </c>
      <c r="B841">
        <v>2</v>
      </c>
      <c r="C841" t="s">
        <v>16</v>
      </c>
      <c r="D841" s="2">
        <v>0.44236111111111109</v>
      </c>
      <c r="E841">
        <v>21678.53</v>
      </c>
      <c r="F841" s="2">
        <v>0.45902777777777776</v>
      </c>
      <c r="G841">
        <v>21716.47</v>
      </c>
      <c r="H841">
        <v>21663.360000000001</v>
      </c>
      <c r="I841">
        <v>21716.47</v>
      </c>
      <c r="J841" t="s">
        <v>14</v>
      </c>
      <c r="K841">
        <v>37.94</v>
      </c>
      <c r="L841" s="9">
        <v>2.5</v>
      </c>
      <c r="M841">
        <v>1</v>
      </c>
      <c r="N841">
        <f t="shared" si="26"/>
        <v>0</v>
      </c>
      <c r="O841">
        <f t="shared" si="27"/>
        <v>1</v>
      </c>
    </row>
    <row r="842" spans="1:15" x14ac:dyDescent="0.2">
      <c r="A842" s="1">
        <v>45652</v>
      </c>
      <c r="B842">
        <v>4</v>
      </c>
      <c r="C842" t="s">
        <v>16</v>
      </c>
      <c r="D842" s="2">
        <v>0.44027777777777777</v>
      </c>
      <c r="E842">
        <v>21740.93</v>
      </c>
      <c r="F842" s="2">
        <v>0.44513888888888886</v>
      </c>
      <c r="G842">
        <v>21725.71</v>
      </c>
      <c r="H842">
        <v>21725.71</v>
      </c>
      <c r="I842">
        <v>21778.97</v>
      </c>
      <c r="J842" t="s">
        <v>15</v>
      </c>
      <c r="K842">
        <v>-15.22</v>
      </c>
      <c r="L842" s="9">
        <v>-1</v>
      </c>
      <c r="M842">
        <v>0</v>
      </c>
      <c r="N842">
        <f t="shared" si="26"/>
        <v>1</v>
      </c>
      <c r="O842">
        <f t="shared" si="27"/>
        <v>0</v>
      </c>
    </row>
    <row r="843" spans="1:15" x14ac:dyDescent="0.2">
      <c r="A843" s="1">
        <v>45653</v>
      </c>
      <c r="B843">
        <v>5</v>
      </c>
      <c r="C843" t="s">
        <v>13</v>
      </c>
      <c r="D843" s="2">
        <v>0.39583333333333331</v>
      </c>
      <c r="E843">
        <v>21618.68</v>
      </c>
      <c r="F843" s="2">
        <v>0.3972222222222222</v>
      </c>
      <c r="G843">
        <v>21580.84</v>
      </c>
      <c r="H843">
        <v>21633.81</v>
      </c>
      <c r="I843">
        <v>21580.84</v>
      </c>
      <c r="J843" t="s">
        <v>14</v>
      </c>
      <c r="K843">
        <v>37.83</v>
      </c>
      <c r="L843" s="9">
        <v>2.5</v>
      </c>
      <c r="M843">
        <v>1</v>
      </c>
      <c r="N843">
        <f t="shared" si="26"/>
        <v>0</v>
      </c>
      <c r="O843">
        <f t="shared" si="27"/>
        <v>1</v>
      </c>
    </row>
    <row r="844" spans="1:15" x14ac:dyDescent="0.2">
      <c r="A844" s="1">
        <v>45653</v>
      </c>
      <c r="B844">
        <v>5</v>
      </c>
      <c r="C844" t="s">
        <v>16</v>
      </c>
      <c r="D844" s="2">
        <v>0.45277777777777778</v>
      </c>
      <c r="E844">
        <v>21360.34</v>
      </c>
      <c r="F844" s="2">
        <v>0.4597222222222222</v>
      </c>
      <c r="G844">
        <v>21345.39</v>
      </c>
      <c r="H844">
        <v>21345.39</v>
      </c>
      <c r="I844">
        <v>21397.73</v>
      </c>
      <c r="J844" t="s">
        <v>15</v>
      </c>
      <c r="K844">
        <v>-14.95</v>
      </c>
      <c r="L844" s="9">
        <v>-1</v>
      </c>
      <c r="M844">
        <v>0</v>
      </c>
      <c r="N844">
        <f t="shared" si="26"/>
        <v>1</v>
      </c>
      <c r="O844">
        <f t="shared" si="27"/>
        <v>0</v>
      </c>
    </row>
    <row r="845" spans="1:15" x14ac:dyDescent="0.2">
      <c r="A845" s="1">
        <v>45656</v>
      </c>
      <c r="B845">
        <v>1</v>
      </c>
      <c r="C845" t="s">
        <v>13</v>
      </c>
      <c r="D845" s="2">
        <v>0.40763888888888888</v>
      </c>
      <c r="E845">
        <v>21092.23</v>
      </c>
      <c r="F845" s="2">
        <v>0.40972222222222221</v>
      </c>
      <c r="G845">
        <v>21107</v>
      </c>
      <c r="H845">
        <v>21107</v>
      </c>
      <c r="I845">
        <v>21055.32</v>
      </c>
      <c r="J845" t="s">
        <v>15</v>
      </c>
      <c r="K845">
        <v>-14.76</v>
      </c>
      <c r="L845" s="9">
        <v>-1</v>
      </c>
      <c r="M845">
        <v>0</v>
      </c>
      <c r="N845">
        <f t="shared" si="26"/>
        <v>2</v>
      </c>
      <c r="O845">
        <f t="shared" si="27"/>
        <v>0</v>
      </c>
    </row>
    <row r="846" spans="1:15" x14ac:dyDescent="0.2">
      <c r="A846" s="1">
        <v>45656</v>
      </c>
      <c r="B846">
        <v>1</v>
      </c>
      <c r="C846" t="s">
        <v>16</v>
      </c>
      <c r="D846" s="2">
        <v>0.44861111111111113</v>
      </c>
      <c r="E846">
        <v>21136.78</v>
      </c>
      <c r="F846" s="2">
        <v>0.44930555555555557</v>
      </c>
      <c r="G846">
        <v>21121.99</v>
      </c>
      <c r="H846">
        <v>21121.99</v>
      </c>
      <c r="I846">
        <v>21173.77</v>
      </c>
      <c r="J846" t="s">
        <v>15</v>
      </c>
      <c r="K846">
        <v>-14.8</v>
      </c>
      <c r="L846" s="9">
        <v>-1</v>
      </c>
      <c r="M846">
        <v>0</v>
      </c>
      <c r="N846">
        <f t="shared" si="26"/>
        <v>3</v>
      </c>
      <c r="O846">
        <f t="shared" si="27"/>
        <v>0</v>
      </c>
    </row>
    <row r="847" spans="1:15" x14ac:dyDescent="0.2">
      <c r="A847" s="1">
        <v>45657</v>
      </c>
      <c r="B847">
        <v>2</v>
      </c>
      <c r="C847" t="s">
        <v>13</v>
      </c>
      <c r="D847" s="2">
        <v>0.40486111111111112</v>
      </c>
      <c r="E847">
        <v>21171.56</v>
      </c>
      <c r="F847" s="2">
        <v>0.40625</v>
      </c>
      <c r="G847">
        <v>21186.38</v>
      </c>
      <c r="H847">
        <v>21186.38</v>
      </c>
      <c r="I847">
        <v>21134.51</v>
      </c>
      <c r="J847" t="s">
        <v>15</v>
      </c>
      <c r="K847">
        <v>-14.82</v>
      </c>
      <c r="L847" s="9">
        <v>-1</v>
      </c>
      <c r="M847">
        <v>0</v>
      </c>
      <c r="N847">
        <f t="shared" si="26"/>
        <v>4</v>
      </c>
      <c r="O847">
        <f t="shared" si="27"/>
        <v>0</v>
      </c>
    </row>
    <row r="848" spans="1:15" x14ac:dyDescent="0.2">
      <c r="A848" s="1">
        <v>45657</v>
      </c>
      <c r="B848">
        <v>2</v>
      </c>
      <c r="C848" t="s">
        <v>13</v>
      </c>
      <c r="D848" s="2">
        <v>0.42569444444444443</v>
      </c>
      <c r="E848">
        <v>21134.29</v>
      </c>
      <c r="F848" s="2">
        <v>0.42638888888888887</v>
      </c>
      <c r="G848">
        <v>21149.09</v>
      </c>
      <c r="H848">
        <v>21149.09</v>
      </c>
      <c r="I848">
        <v>21097.31</v>
      </c>
      <c r="J848" t="s">
        <v>15</v>
      </c>
      <c r="K848">
        <v>-14.79</v>
      </c>
      <c r="L848" s="9">
        <v>-1</v>
      </c>
      <c r="M848">
        <v>0</v>
      </c>
      <c r="N848">
        <f t="shared" si="26"/>
        <v>5</v>
      </c>
      <c r="O848">
        <f t="shared" si="27"/>
        <v>0</v>
      </c>
    </row>
    <row r="849" spans="1:15" x14ac:dyDescent="0.2">
      <c r="A849" s="1">
        <v>45657</v>
      </c>
      <c r="B849">
        <v>2</v>
      </c>
      <c r="C849" t="s">
        <v>13</v>
      </c>
      <c r="D849" s="2">
        <v>0.44861111111111113</v>
      </c>
      <c r="E849">
        <v>21160.14</v>
      </c>
      <c r="F849" s="2">
        <v>0.45208333333333334</v>
      </c>
      <c r="G849">
        <v>21174.959999999999</v>
      </c>
      <c r="H849">
        <v>21174.959999999999</v>
      </c>
      <c r="I849">
        <v>21123.11</v>
      </c>
      <c r="J849" t="s">
        <v>15</v>
      </c>
      <c r="K849">
        <v>-14.81</v>
      </c>
      <c r="L849" s="9">
        <v>-1</v>
      </c>
      <c r="M849">
        <v>0</v>
      </c>
      <c r="N849">
        <f t="shared" si="26"/>
        <v>6</v>
      </c>
      <c r="O849">
        <f t="shared" si="27"/>
        <v>0</v>
      </c>
    </row>
    <row r="850" spans="1:15" x14ac:dyDescent="0.2">
      <c r="A850" s="1">
        <v>45659</v>
      </c>
      <c r="B850">
        <v>4</v>
      </c>
      <c r="C850" t="s">
        <v>13</v>
      </c>
      <c r="D850" s="2">
        <v>0.39652777777777776</v>
      </c>
      <c r="E850">
        <v>21132.720000000001</v>
      </c>
      <c r="F850" s="2">
        <v>0.3972222222222222</v>
      </c>
      <c r="G850">
        <v>21147.51</v>
      </c>
      <c r="H850">
        <v>21147.51</v>
      </c>
      <c r="I850">
        <v>21095.74</v>
      </c>
      <c r="J850" t="s">
        <v>15</v>
      </c>
      <c r="K850">
        <v>-14.79</v>
      </c>
      <c r="L850" s="9">
        <v>-1</v>
      </c>
      <c r="M850">
        <v>0</v>
      </c>
      <c r="N850">
        <f t="shared" si="26"/>
        <v>7</v>
      </c>
      <c r="O850">
        <f t="shared" si="27"/>
        <v>0</v>
      </c>
    </row>
    <row r="851" spans="1:15" x14ac:dyDescent="0.2">
      <c r="A851" s="1">
        <v>45659</v>
      </c>
      <c r="B851">
        <v>4</v>
      </c>
      <c r="C851" t="s">
        <v>16</v>
      </c>
      <c r="D851" s="2">
        <v>0.41736111111111113</v>
      </c>
      <c r="E851">
        <v>21171.7</v>
      </c>
      <c r="F851" s="2">
        <v>0.41875000000000001</v>
      </c>
      <c r="G851">
        <v>21156.880000000001</v>
      </c>
      <c r="H851">
        <v>21156.880000000001</v>
      </c>
      <c r="I851">
        <v>21208.75</v>
      </c>
      <c r="J851" t="s">
        <v>15</v>
      </c>
      <c r="K851">
        <v>-14.82</v>
      </c>
      <c r="L851" s="9">
        <v>-1</v>
      </c>
      <c r="M851">
        <v>0</v>
      </c>
      <c r="N851">
        <f t="shared" si="26"/>
        <v>8</v>
      </c>
      <c r="O851">
        <f t="shared" si="27"/>
        <v>0</v>
      </c>
    </row>
    <row r="852" spans="1:15" x14ac:dyDescent="0.2">
      <c r="A852" s="1">
        <v>45663</v>
      </c>
      <c r="B852">
        <v>1</v>
      </c>
      <c r="C852" t="s">
        <v>16</v>
      </c>
      <c r="D852" s="2">
        <v>0.40208333333333335</v>
      </c>
      <c r="E852">
        <v>21580.959999999999</v>
      </c>
      <c r="F852" s="2">
        <v>0.40347222222222223</v>
      </c>
      <c r="G852">
        <v>21618.720000000001</v>
      </c>
      <c r="H852">
        <v>21565.85</v>
      </c>
      <c r="I852">
        <v>21618.720000000001</v>
      </c>
      <c r="J852" t="s">
        <v>14</v>
      </c>
      <c r="K852">
        <v>37.770000000000003</v>
      </c>
      <c r="L852" s="9">
        <v>2.5</v>
      </c>
      <c r="M852">
        <v>1</v>
      </c>
      <c r="N852">
        <f t="shared" si="26"/>
        <v>0</v>
      </c>
      <c r="O852">
        <f t="shared" si="27"/>
        <v>1</v>
      </c>
    </row>
    <row r="853" spans="1:15" x14ac:dyDescent="0.2">
      <c r="A853" s="1">
        <v>45663</v>
      </c>
      <c r="B853">
        <v>1</v>
      </c>
      <c r="C853" t="s">
        <v>16</v>
      </c>
      <c r="D853" s="2">
        <v>0.42986111111111114</v>
      </c>
      <c r="E853">
        <v>21658.18</v>
      </c>
      <c r="F853" s="2">
        <v>0.44861111111111113</v>
      </c>
      <c r="G853">
        <v>21696.080000000002</v>
      </c>
      <c r="H853">
        <v>21643.02</v>
      </c>
      <c r="I853">
        <v>21696.080000000002</v>
      </c>
      <c r="J853" t="s">
        <v>14</v>
      </c>
      <c r="K853">
        <v>37.9</v>
      </c>
      <c r="L853" s="9">
        <v>2.5</v>
      </c>
      <c r="M853">
        <v>1</v>
      </c>
      <c r="N853">
        <f t="shared" si="26"/>
        <v>0</v>
      </c>
      <c r="O853">
        <f t="shared" si="27"/>
        <v>2</v>
      </c>
    </row>
    <row r="854" spans="1:15" x14ac:dyDescent="0.2">
      <c r="A854" s="1">
        <v>45664</v>
      </c>
      <c r="B854">
        <v>2</v>
      </c>
      <c r="C854" t="s">
        <v>13</v>
      </c>
      <c r="D854" s="2">
        <v>0.40347222222222223</v>
      </c>
      <c r="E854">
        <v>21533.68</v>
      </c>
      <c r="F854" s="2">
        <v>0.40486111111111112</v>
      </c>
      <c r="G854">
        <v>21548.75</v>
      </c>
      <c r="H854">
        <v>21548.75</v>
      </c>
      <c r="I854">
        <v>21495.99</v>
      </c>
      <c r="J854" t="s">
        <v>15</v>
      </c>
      <c r="K854">
        <v>-15.07</v>
      </c>
      <c r="L854" s="9">
        <v>-1</v>
      </c>
      <c r="M854">
        <v>0</v>
      </c>
      <c r="N854">
        <f t="shared" si="26"/>
        <v>1</v>
      </c>
      <c r="O854">
        <f t="shared" si="27"/>
        <v>0</v>
      </c>
    </row>
    <row r="855" spans="1:15" x14ac:dyDescent="0.2">
      <c r="A855" s="1">
        <v>45664</v>
      </c>
      <c r="B855">
        <v>2</v>
      </c>
      <c r="C855" t="s">
        <v>13</v>
      </c>
      <c r="D855" s="2">
        <v>0.41944444444444445</v>
      </c>
      <c r="E855">
        <v>21456.82</v>
      </c>
      <c r="F855" s="2">
        <v>0.4201388888888889</v>
      </c>
      <c r="G855">
        <v>21419.27</v>
      </c>
      <c r="H855">
        <v>21471.84</v>
      </c>
      <c r="I855">
        <v>21419.27</v>
      </c>
      <c r="J855" t="s">
        <v>14</v>
      </c>
      <c r="K855">
        <v>37.549999999999997</v>
      </c>
      <c r="L855" s="9">
        <v>2.5</v>
      </c>
      <c r="M855">
        <v>1</v>
      </c>
      <c r="N855">
        <f t="shared" si="26"/>
        <v>0</v>
      </c>
      <c r="O855">
        <f t="shared" si="27"/>
        <v>1</v>
      </c>
    </row>
    <row r="856" spans="1:15" x14ac:dyDescent="0.2">
      <c r="A856" s="1">
        <v>45664</v>
      </c>
      <c r="B856">
        <v>2</v>
      </c>
      <c r="C856" t="s">
        <v>13</v>
      </c>
      <c r="D856" s="2">
        <v>0.44236111111111109</v>
      </c>
      <c r="E856">
        <v>21319.4</v>
      </c>
      <c r="F856" s="2">
        <v>0.44305555555555554</v>
      </c>
      <c r="G856">
        <v>21282.09</v>
      </c>
      <c r="H856">
        <v>21334.33</v>
      </c>
      <c r="I856">
        <v>21282.09</v>
      </c>
      <c r="J856" t="s">
        <v>14</v>
      </c>
      <c r="K856">
        <v>37.31</v>
      </c>
      <c r="L856" s="9">
        <v>2.5</v>
      </c>
      <c r="M856">
        <v>1</v>
      </c>
      <c r="N856">
        <f t="shared" si="26"/>
        <v>0</v>
      </c>
      <c r="O856">
        <f t="shared" si="27"/>
        <v>2</v>
      </c>
    </row>
    <row r="857" spans="1:15" x14ac:dyDescent="0.2">
      <c r="A857" s="1">
        <v>45667</v>
      </c>
      <c r="B857">
        <v>5</v>
      </c>
      <c r="C857" t="s">
        <v>13</v>
      </c>
      <c r="D857" s="2">
        <v>0.40347222222222223</v>
      </c>
      <c r="E857">
        <v>20927.349999999999</v>
      </c>
      <c r="F857" s="2">
        <v>0.40486111111111112</v>
      </c>
      <c r="G857">
        <v>20942</v>
      </c>
      <c r="H857">
        <v>20942</v>
      </c>
      <c r="I857">
        <v>20890.73</v>
      </c>
      <c r="J857" t="s">
        <v>15</v>
      </c>
      <c r="K857">
        <v>-14.65</v>
      </c>
      <c r="L857" s="9">
        <v>-1</v>
      </c>
      <c r="M857">
        <v>0</v>
      </c>
      <c r="N857">
        <f t="shared" si="26"/>
        <v>1</v>
      </c>
      <c r="O857">
        <f t="shared" si="27"/>
        <v>0</v>
      </c>
    </row>
    <row r="858" spans="1:15" x14ac:dyDescent="0.2">
      <c r="A858" s="1">
        <v>45667</v>
      </c>
      <c r="B858">
        <v>5</v>
      </c>
      <c r="C858" t="s">
        <v>16</v>
      </c>
      <c r="D858" s="2">
        <v>0.44444444444444442</v>
      </c>
      <c r="E858">
        <v>20885.7</v>
      </c>
      <c r="F858" s="2">
        <v>0.44722222222222224</v>
      </c>
      <c r="G858">
        <v>20871.080000000002</v>
      </c>
      <c r="H858">
        <v>20871.080000000002</v>
      </c>
      <c r="I858">
        <v>20922.25</v>
      </c>
      <c r="J858" t="s">
        <v>15</v>
      </c>
      <c r="K858">
        <v>-14.62</v>
      </c>
      <c r="L858" s="9">
        <v>-1</v>
      </c>
      <c r="M858">
        <v>0</v>
      </c>
      <c r="N858">
        <f t="shared" si="26"/>
        <v>2</v>
      </c>
      <c r="O858">
        <f t="shared" si="27"/>
        <v>0</v>
      </c>
    </row>
    <row r="859" spans="1:15" x14ac:dyDescent="0.2">
      <c r="A859" s="1">
        <v>45670</v>
      </c>
      <c r="B859">
        <v>1</v>
      </c>
      <c r="C859" t="s">
        <v>13</v>
      </c>
      <c r="D859" s="2">
        <v>0.39583333333333331</v>
      </c>
      <c r="E859">
        <v>20605.830000000002</v>
      </c>
      <c r="F859" s="2">
        <v>0.3972222222222222</v>
      </c>
      <c r="G859">
        <v>20620.259999999998</v>
      </c>
      <c r="H859">
        <v>20620.259999999998</v>
      </c>
      <c r="I859">
        <v>20569.77</v>
      </c>
      <c r="J859" t="s">
        <v>15</v>
      </c>
      <c r="K859">
        <v>-14.42</v>
      </c>
      <c r="L859" s="9">
        <v>-1</v>
      </c>
      <c r="M859">
        <v>0</v>
      </c>
      <c r="N859">
        <f t="shared" si="26"/>
        <v>3</v>
      </c>
      <c r="O859">
        <f t="shared" si="27"/>
        <v>0</v>
      </c>
    </row>
    <row r="860" spans="1:15" x14ac:dyDescent="0.2">
      <c r="A860" s="1">
        <v>45670</v>
      </c>
      <c r="B860">
        <v>1</v>
      </c>
      <c r="C860" t="s">
        <v>16</v>
      </c>
      <c r="D860" s="2">
        <v>0.42222222222222222</v>
      </c>
      <c r="E860">
        <v>20660.419999999998</v>
      </c>
      <c r="F860" s="2">
        <v>0.42291666666666666</v>
      </c>
      <c r="G860">
        <v>20645.96</v>
      </c>
      <c r="H860">
        <v>20645.96</v>
      </c>
      <c r="I860">
        <v>20696.57</v>
      </c>
      <c r="J860" t="s">
        <v>15</v>
      </c>
      <c r="K860">
        <v>-14.46</v>
      </c>
      <c r="L860" s="9">
        <v>-1</v>
      </c>
      <c r="M860">
        <v>0</v>
      </c>
      <c r="N860">
        <f t="shared" si="26"/>
        <v>4</v>
      </c>
      <c r="O860">
        <f t="shared" si="27"/>
        <v>0</v>
      </c>
    </row>
    <row r="861" spans="1:15" x14ac:dyDescent="0.2">
      <c r="A861" s="1">
        <v>45670</v>
      </c>
      <c r="B861">
        <v>1</v>
      </c>
      <c r="C861" t="s">
        <v>13</v>
      </c>
      <c r="D861" s="2">
        <v>0.4375</v>
      </c>
      <c r="E861">
        <v>20570.47</v>
      </c>
      <c r="F861" s="2">
        <v>0.43819444444444444</v>
      </c>
      <c r="G861">
        <v>20584.87</v>
      </c>
      <c r="H861">
        <v>20584.87</v>
      </c>
      <c r="I861">
        <v>20534.47</v>
      </c>
      <c r="J861" t="s">
        <v>15</v>
      </c>
      <c r="K861">
        <v>-14.4</v>
      </c>
      <c r="L861" s="9">
        <v>-1</v>
      </c>
      <c r="M861">
        <v>0</v>
      </c>
      <c r="N861">
        <f t="shared" si="26"/>
        <v>5</v>
      </c>
      <c r="O861">
        <f t="shared" si="27"/>
        <v>0</v>
      </c>
    </row>
    <row r="862" spans="1:15" x14ac:dyDescent="0.2">
      <c r="A862" s="1">
        <v>45671</v>
      </c>
      <c r="B862">
        <v>2</v>
      </c>
      <c r="C862" t="s">
        <v>16</v>
      </c>
      <c r="D862" s="2">
        <v>0.40486111111111112</v>
      </c>
      <c r="E862">
        <v>20939.759999999998</v>
      </c>
      <c r="F862" s="2">
        <v>0.40555555555555556</v>
      </c>
      <c r="G862">
        <v>20925.099999999999</v>
      </c>
      <c r="H862">
        <v>20925.099999999999</v>
      </c>
      <c r="I862">
        <v>20976.400000000001</v>
      </c>
      <c r="J862" t="s">
        <v>15</v>
      </c>
      <c r="K862">
        <v>-14.66</v>
      </c>
      <c r="L862" s="9">
        <v>-1</v>
      </c>
      <c r="M862">
        <v>0</v>
      </c>
      <c r="N862">
        <f t="shared" si="26"/>
        <v>6</v>
      </c>
      <c r="O862">
        <f t="shared" si="27"/>
        <v>0</v>
      </c>
    </row>
    <row r="863" spans="1:15" x14ac:dyDescent="0.2">
      <c r="A863" s="1">
        <v>45671</v>
      </c>
      <c r="B863">
        <v>2</v>
      </c>
      <c r="C863" t="s">
        <v>13</v>
      </c>
      <c r="D863" s="2">
        <v>0.41736111111111113</v>
      </c>
      <c r="E863">
        <v>20824.650000000001</v>
      </c>
      <c r="F863" s="2">
        <v>0.41805555555555557</v>
      </c>
      <c r="G863">
        <v>20839.23</v>
      </c>
      <c r="H863">
        <v>20839.23</v>
      </c>
      <c r="I863">
        <v>20788.21</v>
      </c>
      <c r="J863" t="s">
        <v>15</v>
      </c>
      <c r="K863">
        <v>-14.58</v>
      </c>
      <c r="L863" s="9">
        <v>-1</v>
      </c>
      <c r="M863">
        <v>0</v>
      </c>
      <c r="N863">
        <f t="shared" si="26"/>
        <v>7</v>
      </c>
      <c r="O863">
        <f t="shared" si="27"/>
        <v>0</v>
      </c>
    </row>
    <row r="864" spans="1:15" x14ac:dyDescent="0.2">
      <c r="A864" s="1">
        <v>45671</v>
      </c>
      <c r="B864">
        <v>2</v>
      </c>
      <c r="C864" t="s">
        <v>16</v>
      </c>
      <c r="D864" s="2">
        <v>0.42986111111111114</v>
      </c>
      <c r="E864">
        <v>20924.37</v>
      </c>
      <c r="F864" s="2">
        <v>0.43055555555555558</v>
      </c>
      <c r="G864">
        <v>20909.72</v>
      </c>
      <c r="H864">
        <v>20909.72</v>
      </c>
      <c r="I864">
        <v>20960.990000000002</v>
      </c>
      <c r="J864" t="s">
        <v>15</v>
      </c>
      <c r="K864">
        <v>-14.65</v>
      </c>
      <c r="L864" s="9">
        <v>-1</v>
      </c>
      <c r="M864">
        <v>0</v>
      </c>
      <c r="N864">
        <f t="shared" si="26"/>
        <v>8</v>
      </c>
      <c r="O864">
        <f t="shared" si="27"/>
        <v>0</v>
      </c>
    </row>
    <row r="865" spans="1:15" x14ac:dyDescent="0.2">
      <c r="A865" s="1">
        <v>45672</v>
      </c>
      <c r="B865">
        <v>3</v>
      </c>
      <c r="C865" t="s">
        <v>16</v>
      </c>
      <c r="D865" s="2">
        <v>0.40972222222222221</v>
      </c>
      <c r="E865">
        <v>21163.38</v>
      </c>
      <c r="F865" s="2">
        <v>0.41180555555555554</v>
      </c>
      <c r="G865">
        <v>21148.57</v>
      </c>
      <c r="H865">
        <v>21148.57</v>
      </c>
      <c r="I865">
        <v>21200.42</v>
      </c>
      <c r="J865" t="s">
        <v>15</v>
      </c>
      <c r="K865">
        <v>-14.81</v>
      </c>
      <c r="L865" s="9">
        <v>-1</v>
      </c>
      <c r="M865">
        <v>0</v>
      </c>
      <c r="N865">
        <f t="shared" si="26"/>
        <v>9</v>
      </c>
      <c r="O865">
        <f t="shared" si="27"/>
        <v>0</v>
      </c>
    </row>
    <row r="866" spans="1:15" x14ac:dyDescent="0.2">
      <c r="A866" s="1">
        <v>45672</v>
      </c>
      <c r="B866">
        <v>3</v>
      </c>
      <c r="C866" t="s">
        <v>13</v>
      </c>
      <c r="D866" s="2">
        <v>0.44930555555555557</v>
      </c>
      <c r="E866">
        <v>21208.29</v>
      </c>
      <c r="F866" s="2">
        <v>0.45694444444444443</v>
      </c>
      <c r="G866">
        <v>21171.17</v>
      </c>
      <c r="H866">
        <v>21223.13</v>
      </c>
      <c r="I866">
        <v>21171.17</v>
      </c>
      <c r="J866" t="s">
        <v>14</v>
      </c>
      <c r="K866">
        <v>37.11</v>
      </c>
      <c r="L866" s="9">
        <v>2.5</v>
      </c>
      <c r="M866">
        <v>1</v>
      </c>
      <c r="N866">
        <f t="shared" si="26"/>
        <v>0</v>
      </c>
      <c r="O866">
        <f t="shared" si="27"/>
        <v>1</v>
      </c>
    </row>
    <row r="867" spans="1:15" x14ac:dyDescent="0.2">
      <c r="A867" s="1">
        <v>45673</v>
      </c>
      <c r="B867">
        <v>4</v>
      </c>
      <c r="C867" t="s">
        <v>13</v>
      </c>
      <c r="D867" s="2">
        <v>0.40902777777777777</v>
      </c>
      <c r="E867">
        <v>21234.29</v>
      </c>
      <c r="F867" s="2">
        <v>0.41111111111111109</v>
      </c>
      <c r="G867">
        <v>21249.15</v>
      </c>
      <c r="H867">
        <v>21249.15</v>
      </c>
      <c r="I867">
        <v>21197.13</v>
      </c>
      <c r="J867" t="s">
        <v>15</v>
      </c>
      <c r="K867">
        <v>-14.86</v>
      </c>
      <c r="L867" s="9">
        <v>-1</v>
      </c>
      <c r="M867">
        <v>0</v>
      </c>
      <c r="N867">
        <f t="shared" si="26"/>
        <v>1</v>
      </c>
      <c r="O867">
        <f t="shared" si="27"/>
        <v>0</v>
      </c>
    </row>
    <row r="868" spans="1:15" x14ac:dyDescent="0.2">
      <c r="A868" s="1">
        <v>45673</v>
      </c>
      <c r="B868">
        <v>4</v>
      </c>
      <c r="C868" t="s">
        <v>13</v>
      </c>
      <c r="D868" s="2">
        <v>0.4513888888888889</v>
      </c>
      <c r="E868">
        <v>21204.67</v>
      </c>
      <c r="F868" s="2">
        <v>0.45208333333333334</v>
      </c>
      <c r="G868">
        <v>21219.51</v>
      </c>
      <c r="H868">
        <v>21219.51</v>
      </c>
      <c r="I868">
        <v>21167.56</v>
      </c>
      <c r="J868" t="s">
        <v>15</v>
      </c>
      <c r="K868">
        <v>-14.84</v>
      </c>
      <c r="L868" s="9">
        <v>-1</v>
      </c>
      <c r="M868">
        <v>0</v>
      </c>
      <c r="N868">
        <f t="shared" si="26"/>
        <v>2</v>
      </c>
      <c r="O868">
        <f t="shared" si="27"/>
        <v>0</v>
      </c>
    </row>
    <row r="869" spans="1:15" x14ac:dyDescent="0.2">
      <c r="A869" s="1">
        <v>45674</v>
      </c>
      <c r="B869">
        <v>5</v>
      </c>
      <c r="C869" t="s">
        <v>16</v>
      </c>
      <c r="D869" s="2">
        <v>0.39583333333333331</v>
      </c>
      <c r="E869">
        <v>21482.29</v>
      </c>
      <c r="F869" s="2">
        <v>0.39652777777777776</v>
      </c>
      <c r="G869">
        <v>21467.26</v>
      </c>
      <c r="H869">
        <v>21467.26</v>
      </c>
      <c r="I869">
        <v>21519.89</v>
      </c>
      <c r="J869" t="s">
        <v>15</v>
      </c>
      <c r="K869">
        <v>-15.04</v>
      </c>
      <c r="L869" s="9">
        <v>-1</v>
      </c>
      <c r="M869">
        <v>0</v>
      </c>
      <c r="N869">
        <f t="shared" si="26"/>
        <v>3</v>
      </c>
      <c r="O869">
        <f t="shared" si="27"/>
        <v>0</v>
      </c>
    </row>
    <row r="870" spans="1:15" x14ac:dyDescent="0.2">
      <c r="A870" s="1">
        <v>45674</v>
      </c>
      <c r="B870">
        <v>5</v>
      </c>
      <c r="C870" t="s">
        <v>13</v>
      </c>
      <c r="D870" s="2">
        <v>0.40486111111111112</v>
      </c>
      <c r="E870">
        <v>21377.77</v>
      </c>
      <c r="F870" s="2">
        <v>0.40625</v>
      </c>
      <c r="G870">
        <v>21392.74</v>
      </c>
      <c r="H870">
        <v>21392.74</v>
      </c>
      <c r="I870">
        <v>21340.36</v>
      </c>
      <c r="J870" t="s">
        <v>15</v>
      </c>
      <c r="K870">
        <v>-14.96</v>
      </c>
      <c r="L870" s="9">
        <v>-1</v>
      </c>
      <c r="M870">
        <v>0</v>
      </c>
      <c r="N870">
        <f t="shared" si="26"/>
        <v>4</v>
      </c>
      <c r="O870">
        <f t="shared" si="27"/>
        <v>0</v>
      </c>
    </row>
    <row r="871" spans="1:15" x14ac:dyDescent="0.2">
      <c r="A871" s="1">
        <v>45674</v>
      </c>
      <c r="B871">
        <v>5</v>
      </c>
      <c r="C871" t="s">
        <v>16</v>
      </c>
      <c r="D871" s="2">
        <v>0.45347222222222222</v>
      </c>
      <c r="E871">
        <v>21414.07</v>
      </c>
      <c r="F871" s="2">
        <v>0.47291666666666665</v>
      </c>
      <c r="G871">
        <v>21451.54</v>
      </c>
      <c r="H871">
        <v>21399.08</v>
      </c>
      <c r="I871">
        <v>21451.54</v>
      </c>
      <c r="J871" t="s">
        <v>14</v>
      </c>
      <c r="K871">
        <v>37.47</v>
      </c>
      <c r="L871" s="9">
        <v>2.5</v>
      </c>
      <c r="M871">
        <v>1</v>
      </c>
      <c r="N871">
        <f t="shared" si="26"/>
        <v>0</v>
      </c>
      <c r="O871">
        <f t="shared" si="27"/>
        <v>1</v>
      </c>
    </row>
    <row r="872" spans="1:15" x14ac:dyDescent="0.2">
      <c r="A872" s="1">
        <v>45677</v>
      </c>
      <c r="B872">
        <v>1</v>
      </c>
      <c r="C872" t="s">
        <v>16</v>
      </c>
      <c r="D872" s="2">
        <v>0.39583333333333331</v>
      </c>
      <c r="E872">
        <v>21569.14</v>
      </c>
      <c r="F872" s="2">
        <v>0.40347222222222223</v>
      </c>
      <c r="G872">
        <v>21606.89</v>
      </c>
      <c r="H872">
        <v>21554.04</v>
      </c>
      <c r="I872">
        <v>21606.89</v>
      </c>
      <c r="J872" t="s">
        <v>14</v>
      </c>
      <c r="K872">
        <v>37.75</v>
      </c>
      <c r="L872" s="9">
        <v>2.5</v>
      </c>
      <c r="M872">
        <v>1</v>
      </c>
      <c r="N872">
        <f t="shared" si="26"/>
        <v>0</v>
      </c>
      <c r="O872">
        <f t="shared" si="27"/>
        <v>2</v>
      </c>
    </row>
    <row r="873" spans="1:15" x14ac:dyDescent="0.2">
      <c r="A873" s="1">
        <v>45677</v>
      </c>
      <c r="B873">
        <v>1</v>
      </c>
      <c r="C873" t="s">
        <v>13</v>
      </c>
      <c r="D873" s="2">
        <v>0.42986111111111114</v>
      </c>
      <c r="E873">
        <v>21562.12</v>
      </c>
      <c r="F873" s="2">
        <v>0.43819444444444444</v>
      </c>
      <c r="G873">
        <v>21524.38</v>
      </c>
      <c r="H873">
        <v>21577.21</v>
      </c>
      <c r="I873">
        <v>21524.38</v>
      </c>
      <c r="J873" t="s">
        <v>14</v>
      </c>
      <c r="K873">
        <v>37.729999999999997</v>
      </c>
      <c r="L873" s="9">
        <v>2.5</v>
      </c>
      <c r="M873">
        <v>1</v>
      </c>
      <c r="N873">
        <f t="shared" si="26"/>
        <v>0</v>
      </c>
      <c r="O873">
        <f t="shared" si="27"/>
        <v>3</v>
      </c>
    </row>
    <row r="874" spans="1:15" x14ac:dyDescent="0.2">
      <c r="A874" s="1">
        <v>45678</v>
      </c>
      <c r="B874">
        <v>2</v>
      </c>
      <c r="C874" t="s">
        <v>13</v>
      </c>
      <c r="D874" s="2">
        <v>0.40416666666666667</v>
      </c>
      <c r="E874">
        <v>21472.39</v>
      </c>
      <c r="F874" s="2">
        <v>0.40763888888888888</v>
      </c>
      <c r="G874">
        <v>21487.42</v>
      </c>
      <c r="H874">
        <v>21487.42</v>
      </c>
      <c r="I874">
        <v>21434.81</v>
      </c>
      <c r="J874" t="s">
        <v>15</v>
      </c>
      <c r="K874">
        <v>-15.03</v>
      </c>
      <c r="L874" s="9">
        <v>-1</v>
      </c>
      <c r="M874">
        <v>0</v>
      </c>
      <c r="N874">
        <f t="shared" si="26"/>
        <v>1</v>
      </c>
      <c r="O874">
        <f t="shared" si="27"/>
        <v>0</v>
      </c>
    </row>
    <row r="875" spans="1:15" x14ac:dyDescent="0.2">
      <c r="A875" s="1">
        <v>45678</v>
      </c>
      <c r="B875">
        <v>2</v>
      </c>
      <c r="C875" t="s">
        <v>13</v>
      </c>
      <c r="D875" s="2">
        <v>0.42777777777777776</v>
      </c>
      <c r="E875">
        <v>21404.57</v>
      </c>
      <c r="F875" s="2">
        <v>0.4284722222222222</v>
      </c>
      <c r="G875">
        <v>21419.55</v>
      </c>
      <c r="H875">
        <v>21419.55</v>
      </c>
      <c r="I875">
        <v>21367.11</v>
      </c>
      <c r="J875" t="s">
        <v>15</v>
      </c>
      <c r="K875">
        <v>-14.98</v>
      </c>
      <c r="L875" s="9">
        <v>-1</v>
      </c>
      <c r="M875">
        <v>0</v>
      </c>
      <c r="N875">
        <f t="shared" si="26"/>
        <v>2</v>
      </c>
      <c r="O875">
        <f t="shared" si="27"/>
        <v>0</v>
      </c>
    </row>
    <row r="876" spans="1:15" x14ac:dyDescent="0.2">
      <c r="A876" s="1">
        <v>45678</v>
      </c>
      <c r="B876">
        <v>2</v>
      </c>
      <c r="C876" t="s">
        <v>16</v>
      </c>
      <c r="D876" s="2">
        <v>0.44722222222222224</v>
      </c>
      <c r="E876">
        <v>21482.12</v>
      </c>
      <c r="F876" s="2">
        <v>0.44791666666666669</v>
      </c>
      <c r="G876">
        <v>21467.08</v>
      </c>
      <c r="H876">
        <v>21467.08</v>
      </c>
      <c r="I876">
        <v>21519.71</v>
      </c>
      <c r="J876" t="s">
        <v>15</v>
      </c>
      <c r="K876">
        <v>-15.04</v>
      </c>
      <c r="L876" s="9">
        <v>-1</v>
      </c>
      <c r="M876">
        <v>0</v>
      </c>
      <c r="N876">
        <f t="shared" si="26"/>
        <v>3</v>
      </c>
      <c r="O876">
        <f t="shared" si="27"/>
        <v>0</v>
      </c>
    </row>
    <row r="877" spans="1:15" x14ac:dyDescent="0.2">
      <c r="A877" s="1">
        <v>45679</v>
      </c>
      <c r="B877">
        <v>3</v>
      </c>
      <c r="C877" t="s">
        <v>16</v>
      </c>
      <c r="D877" s="2">
        <v>0.40763888888888888</v>
      </c>
      <c r="E877">
        <v>21810.9</v>
      </c>
      <c r="F877" s="2">
        <v>0.41111111111111109</v>
      </c>
      <c r="G877">
        <v>21849.07</v>
      </c>
      <c r="H877">
        <v>21795.63</v>
      </c>
      <c r="I877">
        <v>21849.07</v>
      </c>
      <c r="J877" t="s">
        <v>14</v>
      </c>
      <c r="K877">
        <v>38.17</v>
      </c>
      <c r="L877" s="9">
        <v>2.5</v>
      </c>
      <c r="M877">
        <v>1</v>
      </c>
      <c r="N877">
        <f t="shared" si="26"/>
        <v>0</v>
      </c>
      <c r="O877">
        <f t="shared" si="27"/>
        <v>1</v>
      </c>
    </row>
    <row r="878" spans="1:15" x14ac:dyDescent="0.2">
      <c r="A878" s="1">
        <v>45680</v>
      </c>
      <c r="B878">
        <v>4</v>
      </c>
      <c r="C878" t="s">
        <v>16</v>
      </c>
      <c r="D878" s="2">
        <v>0.41111111111111109</v>
      </c>
      <c r="E878">
        <v>21765.5</v>
      </c>
      <c r="F878" s="2">
        <v>0.41319444444444442</v>
      </c>
      <c r="G878">
        <v>21750.26</v>
      </c>
      <c r="H878">
        <v>21750.26</v>
      </c>
      <c r="I878">
        <v>21803.59</v>
      </c>
      <c r="J878" t="s">
        <v>15</v>
      </c>
      <c r="K878">
        <v>-15.24</v>
      </c>
      <c r="L878" s="9">
        <v>-1</v>
      </c>
      <c r="M878">
        <v>0</v>
      </c>
      <c r="N878">
        <f t="shared" si="26"/>
        <v>1</v>
      </c>
      <c r="O878">
        <f t="shared" si="27"/>
        <v>0</v>
      </c>
    </row>
    <row r="879" spans="1:15" x14ac:dyDescent="0.2">
      <c r="A879" s="1">
        <v>45680</v>
      </c>
      <c r="B879">
        <v>4</v>
      </c>
      <c r="C879" t="s">
        <v>16</v>
      </c>
      <c r="D879" s="2">
        <v>0.44444444444444442</v>
      </c>
      <c r="E879">
        <v>21782.25</v>
      </c>
      <c r="F879" s="2">
        <v>0.46597222222222223</v>
      </c>
      <c r="G879">
        <v>21767</v>
      </c>
      <c r="H879">
        <v>21767</v>
      </c>
      <c r="I879">
        <v>21820.37</v>
      </c>
      <c r="J879" t="s">
        <v>15</v>
      </c>
      <c r="K879">
        <v>-15.25</v>
      </c>
      <c r="L879" s="9">
        <v>-1</v>
      </c>
      <c r="M879">
        <v>0</v>
      </c>
      <c r="N879">
        <f t="shared" si="26"/>
        <v>2</v>
      </c>
      <c r="O879">
        <f t="shared" si="27"/>
        <v>0</v>
      </c>
    </row>
    <row r="880" spans="1:15" x14ac:dyDescent="0.2">
      <c r="A880" s="1">
        <v>45684</v>
      </c>
      <c r="B880">
        <v>1</v>
      </c>
      <c r="C880" t="s">
        <v>16</v>
      </c>
      <c r="D880" s="2">
        <v>0.40138888888888891</v>
      </c>
      <c r="E880">
        <v>21102.639999999999</v>
      </c>
      <c r="F880" s="2">
        <v>0.40208333333333335</v>
      </c>
      <c r="G880">
        <v>21139.57</v>
      </c>
      <c r="H880">
        <v>21087.87</v>
      </c>
      <c r="I880">
        <v>21139.57</v>
      </c>
      <c r="J880" t="s">
        <v>14</v>
      </c>
      <c r="K880">
        <v>36.93</v>
      </c>
      <c r="L880" s="9">
        <v>2.5</v>
      </c>
      <c r="M880">
        <v>1</v>
      </c>
      <c r="N880">
        <f t="shared" si="26"/>
        <v>0</v>
      </c>
      <c r="O880">
        <f t="shared" si="27"/>
        <v>1</v>
      </c>
    </row>
    <row r="881" spans="1:15" x14ac:dyDescent="0.2">
      <c r="A881" s="1">
        <v>45684</v>
      </c>
      <c r="B881">
        <v>1</v>
      </c>
      <c r="C881" t="s">
        <v>16</v>
      </c>
      <c r="D881" s="2">
        <v>0.44097222222222221</v>
      </c>
      <c r="E881">
        <v>21246.11</v>
      </c>
      <c r="F881" s="2">
        <v>0.44930555555555557</v>
      </c>
      <c r="G881">
        <v>21231.23</v>
      </c>
      <c r="H881">
        <v>21231.23</v>
      </c>
      <c r="I881">
        <v>21283.29</v>
      </c>
      <c r="J881" t="s">
        <v>15</v>
      </c>
      <c r="K881">
        <v>-14.87</v>
      </c>
      <c r="L881" s="9">
        <v>-1</v>
      </c>
      <c r="M881">
        <v>0</v>
      </c>
      <c r="N881">
        <f t="shared" si="26"/>
        <v>1</v>
      </c>
      <c r="O881">
        <f t="shared" si="27"/>
        <v>0</v>
      </c>
    </row>
    <row r="882" spans="1:15" x14ac:dyDescent="0.2">
      <c r="A882" s="1">
        <v>45687</v>
      </c>
      <c r="B882">
        <v>4</v>
      </c>
      <c r="C882" t="s">
        <v>16</v>
      </c>
      <c r="D882" s="2">
        <v>0.41111111111111109</v>
      </c>
      <c r="E882">
        <v>21600.71</v>
      </c>
      <c r="F882" s="2">
        <v>0.41180555555555554</v>
      </c>
      <c r="G882">
        <v>21585.58</v>
      </c>
      <c r="H882">
        <v>21585.58</v>
      </c>
      <c r="I882">
        <v>21638.51</v>
      </c>
      <c r="J882" t="s">
        <v>15</v>
      </c>
      <c r="K882">
        <v>-15.12</v>
      </c>
      <c r="L882" s="9">
        <v>-1</v>
      </c>
      <c r="M882">
        <v>0</v>
      </c>
      <c r="N882">
        <f t="shared" si="26"/>
        <v>2</v>
      </c>
      <c r="O882">
        <f t="shared" si="27"/>
        <v>0</v>
      </c>
    </row>
    <row r="883" spans="1:15" x14ac:dyDescent="0.2">
      <c r="A883" s="1">
        <v>45687</v>
      </c>
      <c r="B883">
        <v>4</v>
      </c>
      <c r="C883" t="s">
        <v>13</v>
      </c>
      <c r="D883" s="2">
        <v>0.43125000000000002</v>
      </c>
      <c r="E883">
        <v>21453.72</v>
      </c>
      <c r="F883" s="2">
        <v>0.43333333333333335</v>
      </c>
      <c r="G883">
        <v>21468.74</v>
      </c>
      <c r="H883">
        <v>21468.74</v>
      </c>
      <c r="I883">
        <v>21416.18</v>
      </c>
      <c r="J883" t="s">
        <v>15</v>
      </c>
      <c r="K883">
        <v>-15.02</v>
      </c>
      <c r="L883" s="9">
        <v>-1</v>
      </c>
      <c r="M883">
        <v>0</v>
      </c>
      <c r="N883">
        <f t="shared" si="26"/>
        <v>3</v>
      </c>
      <c r="O883">
        <f t="shared" si="27"/>
        <v>0</v>
      </c>
    </row>
    <row r="884" spans="1:15" x14ac:dyDescent="0.2">
      <c r="A884" s="1">
        <v>45688</v>
      </c>
      <c r="B884">
        <v>5</v>
      </c>
      <c r="C884" t="s">
        <v>16</v>
      </c>
      <c r="D884" s="2">
        <v>0.41388888888888886</v>
      </c>
      <c r="E884">
        <v>21728.93</v>
      </c>
      <c r="F884" s="2">
        <v>0.4152777777777778</v>
      </c>
      <c r="G884">
        <v>21713.72</v>
      </c>
      <c r="H884">
        <v>21713.72</v>
      </c>
      <c r="I884">
        <v>21766.959999999999</v>
      </c>
      <c r="J884" t="s">
        <v>15</v>
      </c>
      <c r="K884">
        <v>-15.21</v>
      </c>
      <c r="L884" s="9">
        <v>-1</v>
      </c>
      <c r="M884">
        <v>0</v>
      </c>
      <c r="N884">
        <f t="shared" si="26"/>
        <v>4</v>
      </c>
      <c r="O884">
        <f t="shared" si="27"/>
        <v>0</v>
      </c>
    </row>
    <row r="885" spans="1:15" x14ac:dyDescent="0.2">
      <c r="A885" s="1">
        <v>45688</v>
      </c>
      <c r="B885">
        <v>5</v>
      </c>
      <c r="C885" t="s">
        <v>16</v>
      </c>
      <c r="D885" s="2">
        <v>0.44236111111111109</v>
      </c>
      <c r="E885">
        <v>21805.65</v>
      </c>
      <c r="F885" s="2">
        <v>0.44513888888888886</v>
      </c>
      <c r="G885">
        <v>21790.39</v>
      </c>
      <c r="H885">
        <v>21790.39</v>
      </c>
      <c r="I885">
        <v>21843.81</v>
      </c>
      <c r="J885" t="s">
        <v>15</v>
      </c>
      <c r="K885">
        <v>-15.26</v>
      </c>
      <c r="L885" s="9">
        <v>-1</v>
      </c>
      <c r="M885">
        <v>0</v>
      </c>
      <c r="N885">
        <f t="shared" si="26"/>
        <v>5</v>
      </c>
      <c r="O885">
        <f t="shared" si="27"/>
        <v>0</v>
      </c>
    </row>
    <row r="886" spans="1:15" x14ac:dyDescent="0.2">
      <c r="A886" s="1">
        <v>45692</v>
      </c>
      <c r="B886">
        <v>2</v>
      </c>
      <c r="C886" t="s">
        <v>16</v>
      </c>
      <c r="D886" s="2">
        <v>0.40347222222222223</v>
      </c>
      <c r="E886">
        <v>21382.37</v>
      </c>
      <c r="F886" s="2">
        <v>0.40972222222222221</v>
      </c>
      <c r="G886">
        <v>21419.79</v>
      </c>
      <c r="H886">
        <v>21367.4</v>
      </c>
      <c r="I886">
        <v>21419.79</v>
      </c>
      <c r="J886" t="s">
        <v>14</v>
      </c>
      <c r="K886">
        <v>37.42</v>
      </c>
      <c r="L886" s="9">
        <v>2.5</v>
      </c>
      <c r="M886">
        <v>1</v>
      </c>
      <c r="N886">
        <f t="shared" si="26"/>
        <v>0</v>
      </c>
      <c r="O886">
        <f t="shared" si="27"/>
        <v>1</v>
      </c>
    </row>
    <row r="887" spans="1:15" x14ac:dyDescent="0.2">
      <c r="A887" s="1">
        <v>45694</v>
      </c>
      <c r="B887">
        <v>4</v>
      </c>
      <c r="C887" t="s">
        <v>16</v>
      </c>
      <c r="D887" s="2">
        <v>0.4284722222222222</v>
      </c>
      <c r="E887">
        <v>21729.39</v>
      </c>
      <c r="F887" s="2">
        <v>0.43333333333333335</v>
      </c>
      <c r="G887">
        <v>21714.18</v>
      </c>
      <c r="H887">
        <v>21714.18</v>
      </c>
      <c r="I887">
        <v>21767.41</v>
      </c>
      <c r="J887" t="s">
        <v>15</v>
      </c>
      <c r="K887">
        <v>-15.21</v>
      </c>
      <c r="L887" s="9">
        <v>-1</v>
      </c>
      <c r="M887">
        <v>0</v>
      </c>
      <c r="N887">
        <f t="shared" si="26"/>
        <v>1</v>
      </c>
      <c r="O887">
        <f t="shared" si="27"/>
        <v>0</v>
      </c>
    </row>
    <row r="888" spans="1:15" x14ac:dyDescent="0.2">
      <c r="A888" s="1">
        <v>45694</v>
      </c>
      <c r="B888">
        <v>4</v>
      </c>
      <c r="C888" t="s">
        <v>13</v>
      </c>
      <c r="D888" s="2">
        <v>0.4513888888888889</v>
      </c>
      <c r="E888">
        <v>21654.31</v>
      </c>
      <c r="F888" s="2">
        <v>0.4548611111111111</v>
      </c>
      <c r="G888">
        <v>21669.47</v>
      </c>
      <c r="H888">
        <v>21669.47</v>
      </c>
      <c r="I888">
        <v>21616.42</v>
      </c>
      <c r="J888" t="s">
        <v>15</v>
      </c>
      <c r="K888">
        <v>-15.16</v>
      </c>
      <c r="L888" s="9">
        <v>-1</v>
      </c>
      <c r="M888">
        <v>0</v>
      </c>
      <c r="N888">
        <f t="shared" si="26"/>
        <v>2</v>
      </c>
      <c r="O888">
        <f t="shared" si="27"/>
        <v>0</v>
      </c>
    </row>
    <row r="889" spans="1:15" x14ac:dyDescent="0.2">
      <c r="A889" s="1">
        <v>45695</v>
      </c>
      <c r="B889">
        <v>5</v>
      </c>
      <c r="C889" t="s">
        <v>16</v>
      </c>
      <c r="D889" s="2">
        <v>0.39930555555555558</v>
      </c>
      <c r="E889">
        <v>21835.09</v>
      </c>
      <c r="F889" s="2">
        <v>0.41388888888888886</v>
      </c>
      <c r="G889">
        <v>21819.8</v>
      </c>
      <c r="H889">
        <v>21819.8</v>
      </c>
      <c r="I889">
        <v>21873.3</v>
      </c>
      <c r="J889" t="s">
        <v>15</v>
      </c>
      <c r="K889">
        <v>-15.28</v>
      </c>
      <c r="L889" s="9">
        <v>-1</v>
      </c>
      <c r="M889">
        <v>0</v>
      </c>
      <c r="N889">
        <f t="shared" si="26"/>
        <v>3</v>
      </c>
      <c r="O889">
        <f t="shared" si="27"/>
        <v>0</v>
      </c>
    </row>
    <row r="890" spans="1:15" x14ac:dyDescent="0.2">
      <c r="A890" s="1">
        <v>45695</v>
      </c>
      <c r="B890">
        <v>5</v>
      </c>
      <c r="C890" t="s">
        <v>13</v>
      </c>
      <c r="D890" s="2">
        <v>0.42083333333333334</v>
      </c>
      <c r="E890">
        <v>21687.06</v>
      </c>
      <c r="F890" s="2">
        <v>0.4236111111111111</v>
      </c>
      <c r="G890">
        <v>21649.11</v>
      </c>
      <c r="H890">
        <v>21702.240000000002</v>
      </c>
      <c r="I890">
        <v>21649.11</v>
      </c>
      <c r="J890" t="s">
        <v>14</v>
      </c>
      <c r="K890">
        <v>37.950000000000003</v>
      </c>
      <c r="L890" s="9">
        <v>2.5</v>
      </c>
      <c r="M890">
        <v>1</v>
      </c>
      <c r="N890">
        <f t="shared" si="26"/>
        <v>0</v>
      </c>
      <c r="O890">
        <f t="shared" si="27"/>
        <v>1</v>
      </c>
    </row>
    <row r="891" spans="1:15" x14ac:dyDescent="0.2">
      <c r="A891" s="1">
        <v>45698</v>
      </c>
      <c r="B891">
        <v>1</v>
      </c>
      <c r="C891" t="s">
        <v>16</v>
      </c>
      <c r="D891" s="2">
        <v>0.40763888888888888</v>
      </c>
      <c r="E891">
        <v>21694.44</v>
      </c>
      <c r="F891" s="2">
        <v>0.40833333333333333</v>
      </c>
      <c r="G891">
        <v>21679.26</v>
      </c>
      <c r="H891">
        <v>21679.26</v>
      </c>
      <c r="I891">
        <v>21732.41</v>
      </c>
      <c r="J891" t="s">
        <v>15</v>
      </c>
      <c r="K891">
        <v>-15.19</v>
      </c>
      <c r="L891" s="9">
        <v>-1</v>
      </c>
      <c r="M891">
        <v>0</v>
      </c>
      <c r="N891">
        <f t="shared" si="26"/>
        <v>1</v>
      </c>
      <c r="O891">
        <f t="shared" si="27"/>
        <v>0</v>
      </c>
    </row>
    <row r="892" spans="1:15" x14ac:dyDescent="0.2">
      <c r="A892" s="1">
        <v>45698</v>
      </c>
      <c r="B892">
        <v>1</v>
      </c>
      <c r="C892" t="s">
        <v>16</v>
      </c>
      <c r="D892" s="2">
        <v>0.41875000000000001</v>
      </c>
      <c r="E892">
        <v>21701.119999999999</v>
      </c>
      <c r="F892" s="2">
        <v>0.4201388888888889</v>
      </c>
      <c r="G892">
        <v>21739.1</v>
      </c>
      <c r="H892">
        <v>21685.93</v>
      </c>
      <c r="I892">
        <v>21739.1</v>
      </c>
      <c r="J892" t="s">
        <v>14</v>
      </c>
      <c r="K892">
        <v>37.979999999999997</v>
      </c>
      <c r="L892" s="9">
        <v>2.5</v>
      </c>
      <c r="M892">
        <v>1</v>
      </c>
      <c r="N892">
        <f t="shared" si="26"/>
        <v>0</v>
      </c>
      <c r="O892">
        <f t="shared" si="27"/>
        <v>1</v>
      </c>
    </row>
    <row r="893" spans="1:15" x14ac:dyDescent="0.2">
      <c r="A893" s="1">
        <v>45699</v>
      </c>
      <c r="B893">
        <v>2</v>
      </c>
      <c r="C893" t="s">
        <v>16</v>
      </c>
      <c r="D893" s="2">
        <v>0.40138888888888891</v>
      </c>
      <c r="E893">
        <v>21679.74</v>
      </c>
      <c r="F893" s="2">
        <v>0.41666666666666669</v>
      </c>
      <c r="G893">
        <v>21717.68</v>
      </c>
      <c r="H893">
        <v>21664.560000000001</v>
      </c>
      <c r="I893">
        <v>21717.68</v>
      </c>
      <c r="J893" t="s">
        <v>14</v>
      </c>
      <c r="K893">
        <v>37.94</v>
      </c>
      <c r="L893" s="9">
        <v>2.5</v>
      </c>
      <c r="M893">
        <v>1</v>
      </c>
      <c r="N893">
        <f t="shared" si="26"/>
        <v>0</v>
      </c>
      <c r="O893">
        <f t="shared" si="27"/>
        <v>2</v>
      </c>
    </row>
    <row r="894" spans="1:15" x14ac:dyDescent="0.2">
      <c r="A894" s="1">
        <v>45699</v>
      </c>
      <c r="B894">
        <v>2</v>
      </c>
      <c r="C894" t="s">
        <v>16</v>
      </c>
      <c r="D894" s="2">
        <v>0.42986111111111114</v>
      </c>
      <c r="E894">
        <v>21708.69</v>
      </c>
      <c r="F894" s="2">
        <v>0.43125000000000002</v>
      </c>
      <c r="G894">
        <v>21693.49</v>
      </c>
      <c r="H894">
        <v>21693.49</v>
      </c>
      <c r="I894">
        <v>21746.68</v>
      </c>
      <c r="J894" t="s">
        <v>15</v>
      </c>
      <c r="K894">
        <v>-15.2</v>
      </c>
      <c r="L894" s="9">
        <v>-1</v>
      </c>
      <c r="M894">
        <v>0</v>
      </c>
      <c r="N894">
        <f t="shared" si="26"/>
        <v>1</v>
      </c>
      <c r="O894">
        <f t="shared" si="27"/>
        <v>0</v>
      </c>
    </row>
    <row r="895" spans="1:15" x14ac:dyDescent="0.2">
      <c r="A895" s="1">
        <v>45700</v>
      </c>
      <c r="B895">
        <v>3</v>
      </c>
      <c r="C895" t="s">
        <v>16</v>
      </c>
      <c r="D895" s="2">
        <v>0.40902777777777777</v>
      </c>
      <c r="E895">
        <v>21569.86</v>
      </c>
      <c r="F895" s="2">
        <v>0.41666666666666669</v>
      </c>
      <c r="G895">
        <v>21554.76</v>
      </c>
      <c r="H895">
        <v>21554.76</v>
      </c>
      <c r="I895">
        <v>21607.599999999999</v>
      </c>
      <c r="J895" t="s">
        <v>15</v>
      </c>
      <c r="K895">
        <v>-15.1</v>
      </c>
      <c r="L895" s="9">
        <v>-1</v>
      </c>
      <c r="M895">
        <v>0</v>
      </c>
      <c r="N895">
        <f t="shared" si="26"/>
        <v>2</v>
      </c>
      <c r="O895">
        <f t="shared" si="27"/>
        <v>0</v>
      </c>
    </row>
    <row r="896" spans="1:15" x14ac:dyDescent="0.2">
      <c r="A896" s="1">
        <v>45700</v>
      </c>
      <c r="B896">
        <v>3</v>
      </c>
      <c r="C896" t="s">
        <v>13</v>
      </c>
      <c r="D896" s="2">
        <v>0.42638888888888887</v>
      </c>
      <c r="E896">
        <v>21506.89</v>
      </c>
      <c r="F896" s="2">
        <v>0.42708333333333331</v>
      </c>
      <c r="G896">
        <v>21521.94</v>
      </c>
      <c r="H896">
        <v>21521.94</v>
      </c>
      <c r="I896">
        <v>21469.25</v>
      </c>
      <c r="J896" t="s">
        <v>15</v>
      </c>
      <c r="K896">
        <v>-15.05</v>
      </c>
      <c r="L896" s="9">
        <v>-1</v>
      </c>
      <c r="M896">
        <v>0</v>
      </c>
      <c r="N896">
        <f t="shared" si="26"/>
        <v>3</v>
      </c>
      <c r="O896">
        <f t="shared" si="27"/>
        <v>0</v>
      </c>
    </row>
    <row r="897" spans="1:15" x14ac:dyDescent="0.2">
      <c r="A897" s="1">
        <v>45700</v>
      </c>
      <c r="B897">
        <v>3</v>
      </c>
      <c r="C897" t="s">
        <v>16</v>
      </c>
      <c r="D897" s="2">
        <v>0.43541666666666667</v>
      </c>
      <c r="E897">
        <v>21612.799999999999</v>
      </c>
      <c r="F897" s="2">
        <v>0.43611111111111112</v>
      </c>
      <c r="G897">
        <v>21597.67</v>
      </c>
      <c r="H897">
        <v>21597.67</v>
      </c>
      <c r="I897">
        <v>21650.62</v>
      </c>
      <c r="J897" t="s">
        <v>15</v>
      </c>
      <c r="K897">
        <v>-15.13</v>
      </c>
      <c r="L897" s="9">
        <v>-1</v>
      </c>
      <c r="M897">
        <v>0</v>
      </c>
      <c r="N897">
        <f t="shared" si="26"/>
        <v>4</v>
      </c>
      <c r="O897">
        <f t="shared" si="27"/>
        <v>0</v>
      </c>
    </row>
    <row r="898" spans="1:15" x14ac:dyDescent="0.2">
      <c r="A898" s="1">
        <v>45701</v>
      </c>
      <c r="B898">
        <v>4</v>
      </c>
      <c r="C898" t="s">
        <v>16</v>
      </c>
      <c r="D898" s="2">
        <v>0.4</v>
      </c>
      <c r="E898">
        <v>21836.33</v>
      </c>
      <c r="F898" s="2">
        <v>0.40069444444444446</v>
      </c>
      <c r="G898">
        <v>21821.040000000001</v>
      </c>
      <c r="H898">
        <v>21821.040000000001</v>
      </c>
      <c r="I898">
        <v>21874.54</v>
      </c>
      <c r="J898" t="s">
        <v>15</v>
      </c>
      <c r="K898">
        <v>-15.29</v>
      </c>
      <c r="L898" s="9">
        <v>-1</v>
      </c>
      <c r="M898">
        <v>0</v>
      </c>
      <c r="N898">
        <f t="shared" ref="N898:N961" si="28">IF(M898=0, IF(M897=0, N897+1, 1), 0)</f>
        <v>5</v>
      </c>
      <c r="O898">
        <f t="shared" ref="O898:O961" si="29">IF(M898=1, IF(M897=1, O897+1, 1), 0)</f>
        <v>0</v>
      </c>
    </row>
    <row r="899" spans="1:15" x14ac:dyDescent="0.2">
      <c r="A899" s="1">
        <v>45701</v>
      </c>
      <c r="B899">
        <v>4</v>
      </c>
      <c r="C899" t="s">
        <v>16</v>
      </c>
      <c r="D899" s="2">
        <v>0.41805555555555557</v>
      </c>
      <c r="E899">
        <v>21833.040000000001</v>
      </c>
      <c r="F899" s="2">
        <v>0.42152777777777778</v>
      </c>
      <c r="G899">
        <v>21817.75</v>
      </c>
      <c r="H899">
        <v>21817.75</v>
      </c>
      <c r="I899">
        <v>21871.24</v>
      </c>
      <c r="J899" t="s">
        <v>15</v>
      </c>
      <c r="K899">
        <v>-15.28</v>
      </c>
      <c r="L899" s="9">
        <v>-1</v>
      </c>
      <c r="M899">
        <v>0</v>
      </c>
      <c r="N899">
        <f t="shared" si="28"/>
        <v>6</v>
      </c>
      <c r="O899">
        <f t="shared" si="29"/>
        <v>0</v>
      </c>
    </row>
    <row r="900" spans="1:15" x14ac:dyDescent="0.2">
      <c r="A900" s="1">
        <v>45702</v>
      </c>
      <c r="B900">
        <v>5</v>
      </c>
      <c r="C900" t="s">
        <v>16</v>
      </c>
      <c r="D900" s="2">
        <v>0.42569444444444443</v>
      </c>
      <c r="E900">
        <v>22062.34</v>
      </c>
      <c r="F900" s="2">
        <v>0.42708333333333331</v>
      </c>
      <c r="G900">
        <v>22046.9</v>
      </c>
      <c r="H900">
        <v>22046.9</v>
      </c>
      <c r="I900">
        <v>22100.95</v>
      </c>
      <c r="J900" t="s">
        <v>15</v>
      </c>
      <c r="K900">
        <v>-15.44</v>
      </c>
      <c r="L900" s="9">
        <v>-1</v>
      </c>
      <c r="M900">
        <v>0</v>
      </c>
      <c r="N900">
        <f t="shared" si="28"/>
        <v>7</v>
      </c>
      <c r="O900">
        <f t="shared" si="29"/>
        <v>0</v>
      </c>
    </row>
    <row r="901" spans="1:15" x14ac:dyDescent="0.2">
      <c r="A901" s="1">
        <v>45702</v>
      </c>
      <c r="B901">
        <v>5</v>
      </c>
      <c r="C901" t="s">
        <v>13</v>
      </c>
      <c r="D901" s="2">
        <v>0.44513888888888886</v>
      </c>
      <c r="E901">
        <v>22032.59</v>
      </c>
      <c r="F901" s="2">
        <v>0.45</v>
      </c>
      <c r="G901">
        <v>22048.02</v>
      </c>
      <c r="H901">
        <v>22048.02</v>
      </c>
      <c r="I901">
        <v>21994.04</v>
      </c>
      <c r="J901" t="s">
        <v>15</v>
      </c>
      <c r="K901">
        <v>-15.42</v>
      </c>
      <c r="L901" s="9">
        <v>-1</v>
      </c>
      <c r="M901">
        <v>0</v>
      </c>
      <c r="N901">
        <f t="shared" si="28"/>
        <v>8</v>
      </c>
      <c r="O901">
        <f t="shared" si="29"/>
        <v>0</v>
      </c>
    </row>
    <row r="902" spans="1:15" x14ac:dyDescent="0.2">
      <c r="A902" s="1">
        <v>45705</v>
      </c>
      <c r="B902">
        <v>1</v>
      </c>
      <c r="C902" t="s">
        <v>13</v>
      </c>
      <c r="D902" s="2">
        <v>0.39583333333333331</v>
      </c>
      <c r="E902">
        <v>22153.88</v>
      </c>
      <c r="F902" s="2">
        <v>0.40069444444444446</v>
      </c>
      <c r="G902">
        <v>22115.11</v>
      </c>
      <c r="H902">
        <v>22169.39</v>
      </c>
      <c r="I902">
        <v>22115.11</v>
      </c>
      <c r="J902" t="s">
        <v>14</v>
      </c>
      <c r="K902">
        <v>38.770000000000003</v>
      </c>
      <c r="L902" s="9">
        <v>2.5</v>
      </c>
      <c r="M902">
        <v>1</v>
      </c>
      <c r="N902">
        <f t="shared" si="28"/>
        <v>0</v>
      </c>
      <c r="O902">
        <f t="shared" si="29"/>
        <v>1</v>
      </c>
    </row>
    <row r="903" spans="1:15" x14ac:dyDescent="0.2">
      <c r="A903" s="1">
        <v>45705</v>
      </c>
      <c r="B903">
        <v>1</v>
      </c>
      <c r="C903" t="s">
        <v>16</v>
      </c>
      <c r="D903" s="2">
        <v>0.43125000000000002</v>
      </c>
      <c r="E903">
        <v>22134.67</v>
      </c>
      <c r="F903" s="2">
        <v>0.64583333333333337</v>
      </c>
      <c r="G903">
        <v>22162.6</v>
      </c>
      <c r="H903">
        <v>22119.18</v>
      </c>
      <c r="I903">
        <v>22173.41</v>
      </c>
      <c r="J903" t="s">
        <v>18</v>
      </c>
      <c r="K903">
        <v>27.93</v>
      </c>
      <c r="L903" s="9">
        <v>1.8024044349999999</v>
      </c>
      <c r="M903">
        <v>1</v>
      </c>
      <c r="N903">
        <f t="shared" si="28"/>
        <v>0</v>
      </c>
      <c r="O903">
        <f t="shared" si="29"/>
        <v>2</v>
      </c>
    </row>
    <row r="904" spans="1:15" x14ac:dyDescent="0.2">
      <c r="A904" s="1">
        <v>45706</v>
      </c>
      <c r="B904">
        <v>2</v>
      </c>
      <c r="C904" t="s">
        <v>13</v>
      </c>
      <c r="D904" s="2">
        <v>0.39791666666666664</v>
      </c>
      <c r="E904">
        <v>22173.62</v>
      </c>
      <c r="F904" s="2">
        <v>0.40555555555555556</v>
      </c>
      <c r="G904">
        <v>22134.82</v>
      </c>
      <c r="H904">
        <v>22189.14</v>
      </c>
      <c r="I904">
        <v>22134.82</v>
      </c>
      <c r="J904" t="s">
        <v>14</v>
      </c>
      <c r="K904">
        <v>38.799999999999997</v>
      </c>
      <c r="L904" s="9">
        <v>2.5</v>
      </c>
      <c r="M904">
        <v>1</v>
      </c>
      <c r="N904">
        <f t="shared" si="28"/>
        <v>0</v>
      </c>
      <c r="O904">
        <f t="shared" si="29"/>
        <v>3</v>
      </c>
    </row>
    <row r="905" spans="1:15" x14ac:dyDescent="0.2">
      <c r="A905" s="1">
        <v>45706</v>
      </c>
      <c r="B905">
        <v>2</v>
      </c>
      <c r="C905" t="s">
        <v>13</v>
      </c>
      <c r="D905" s="2">
        <v>0.4375</v>
      </c>
      <c r="E905">
        <v>22065.01</v>
      </c>
      <c r="F905" s="2">
        <v>0.44236111111111109</v>
      </c>
      <c r="G905">
        <v>22080.46</v>
      </c>
      <c r="H905">
        <v>22080.46</v>
      </c>
      <c r="I905">
        <v>22026.400000000001</v>
      </c>
      <c r="J905" t="s">
        <v>15</v>
      </c>
      <c r="K905">
        <v>-15.45</v>
      </c>
      <c r="L905" s="9">
        <v>-1</v>
      </c>
      <c r="M905">
        <v>0</v>
      </c>
      <c r="N905">
        <f t="shared" si="28"/>
        <v>1</v>
      </c>
      <c r="O905">
        <f t="shared" si="29"/>
        <v>0</v>
      </c>
    </row>
    <row r="906" spans="1:15" x14ac:dyDescent="0.2">
      <c r="A906" s="1">
        <v>45707</v>
      </c>
      <c r="B906">
        <v>3</v>
      </c>
      <c r="C906" t="s">
        <v>13</v>
      </c>
      <c r="D906" s="2">
        <v>0.41666666666666669</v>
      </c>
      <c r="E906">
        <v>22095.99</v>
      </c>
      <c r="F906" s="2">
        <v>0.4201388888888889</v>
      </c>
      <c r="G906">
        <v>22057.32</v>
      </c>
      <c r="H906">
        <v>22111.46</v>
      </c>
      <c r="I906">
        <v>22057.32</v>
      </c>
      <c r="J906" t="s">
        <v>14</v>
      </c>
      <c r="K906">
        <v>38.67</v>
      </c>
      <c r="L906" s="9">
        <v>2.5</v>
      </c>
      <c r="M906">
        <v>1</v>
      </c>
      <c r="N906">
        <f t="shared" si="28"/>
        <v>0</v>
      </c>
      <c r="O906">
        <f t="shared" si="29"/>
        <v>1</v>
      </c>
    </row>
    <row r="907" spans="1:15" x14ac:dyDescent="0.2">
      <c r="A907" s="1">
        <v>45707</v>
      </c>
      <c r="B907">
        <v>3</v>
      </c>
      <c r="C907" t="s">
        <v>16</v>
      </c>
      <c r="D907" s="2">
        <v>0.44791666666666669</v>
      </c>
      <c r="E907">
        <v>22107.03</v>
      </c>
      <c r="F907" s="2">
        <v>0.45555555555555555</v>
      </c>
      <c r="G907">
        <v>22091.56</v>
      </c>
      <c r="H907">
        <v>22091.56</v>
      </c>
      <c r="I907">
        <v>22145.72</v>
      </c>
      <c r="J907" t="s">
        <v>15</v>
      </c>
      <c r="K907">
        <v>-15.47</v>
      </c>
      <c r="L907" s="9">
        <v>-1</v>
      </c>
      <c r="M907">
        <v>0</v>
      </c>
      <c r="N907">
        <f t="shared" si="28"/>
        <v>1</v>
      </c>
      <c r="O907">
        <f t="shared" si="29"/>
        <v>0</v>
      </c>
    </row>
    <row r="908" spans="1:15" x14ac:dyDescent="0.2">
      <c r="A908" s="1">
        <v>45708</v>
      </c>
      <c r="B908">
        <v>4</v>
      </c>
      <c r="C908" t="s">
        <v>13</v>
      </c>
      <c r="D908" s="2">
        <v>0.40833333333333333</v>
      </c>
      <c r="E908">
        <v>22086.53</v>
      </c>
      <c r="F908" s="2">
        <v>0.41041666666666665</v>
      </c>
      <c r="G908">
        <v>22047.88</v>
      </c>
      <c r="H908">
        <v>22101.99</v>
      </c>
      <c r="I908">
        <v>22047.88</v>
      </c>
      <c r="J908" t="s">
        <v>14</v>
      </c>
      <c r="K908">
        <v>38.65</v>
      </c>
      <c r="L908" s="9">
        <v>2.5</v>
      </c>
      <c r="M908">
        <v>1</v>
      </c>
      <c r="N908">
        <f t="shared" si="28"/>
        <v>0</v>
      </c>
      <c r="O908">
        <f t="shared" si="29"/>
        <v>1</v>
      </c>
    </row>
    <row r="909" spans="1:15" x14ac:dyDescent="0.2">
      <c r="A909" s="1">
        <v>45708</v>
      </c>
      <c r="B909">
        <v>4</v>
      </c>
      <c r="C909" t="s">
        <v>16</v>
      </c>
      <c r="D909" s="2">
        <v>0.43958333333333333</v>
      </c>
      <c r="E909">
        <v>22015.83</v>
      </c>
      <c r="F909" s="2">
        <v>0.44097222222222221</v>
      </c>
      <c r="G909">
        <v>22000.42</v>
      </c>
      <c r="H909">
        <v>22000.42</v>
      </c>
      <c r="I909">
        <v>22054.36</v>
      </c>
      <c r="J909" t="s">
        <v>15</v>
      </c>
      <c r="K909">
        <v>-15.41</v>
      </c>
      <c r="L909" s="9">
        <v>-1</v>
      </c>
      <c r="M909">
        <v>0</v>
      </c>
      <c r="N909">
        <f t="shared" si="28"/>
        <v>1</v>
      </c>
      <c r="O909">
        <f t="shared" si="29"/>
        <v>0</v>
      </c>
    </row>
    <row r="910" spans="1:15" x14ac:dyDescent="0.2">
      <c r="A910" s="1">
        <v>45708</v>
      </c>
      <c r="B910">
        <v>4</v>
      </c>
      <c r="C910" t="s">
        <v>13</v>
      </c>
      <c r="D910" s="2">
        <v>0.45347222222222222</v>
      </c>
      <c r="E910">
        <v>21940.79</v>
      </c>
      <c r="F910" s="2">
        <v>0.45763888888888887</v>
      </c>
      <c r="G910">
        <v>21902.39</v>
      </c>
      <c r="H910">
        <v>21956.15</v>
      </c>
      <c r="I910">
        <v>21902.39</v>
      </c>
      <c r="J910" t="s">
        <v>14</v>
      </c>
      <c r="K910">
        <v>38.4</v>
      </c>
      <c r="L910" s="9">
        <v>2.5</v>
      </c>
      <c r="M910">
        <v>1</v>
      </c>
      <c r="N910">
        <f t="shared" si="28"/>
        <v>0</v>
      </c>
      <c r="O910">
        <f t="shared" si="29"/>
        <v>1</v>
      </c>
    </row>
    <row r="911" spans="1:15" x14ac:dyDescent="0.2">
      <c r="A911" s="1">
        <v>45712</v>
      </c>
      <c r="B911">
        <v>1</v>
      </c>
      <c r="C911" t="s">
        <v>13</v>
      </c>
      <c r="D911" s="2">
        <v>0.39652777777777776</v>
      </c>
      <c r="E911">
        <v>21685.83</v>
      </c>
      <c r="F911" s="2">
        <v>0.3972222222222222</v>
      </c>
      <c r="G911">
        <v>21701.01</v>
      </c>
      <c r="H911">
        <v>21701.01</v>
      </c>
      <c r="I911">
        <v>21647.88</v>
      </c>
      <c r="J911" t="s">
        <v>15</v>
      </c>
      <c r="K911">
        <v>-15.18</v>
      </c>
      <c r="L911" s="9">
        <v>-1</v>
      </c>
      <c r="M911">
        <v>0</v>
      </c>
      <c r="N911">
        <f t="shared" si="28"/>
        <v>1</v>
      </c>
      <c r="O911">
        <f t="shared" si="29"/>
        <v>0</v>
      </c>
    </row>
    <row r="912" spans="1:15" x14ac:dyDescent="0.2">
      <c r="A912" s="1">
        <v>45712</v>
      </c>
      <c r="B912">
        <v>1</v>
      </c>
      <c r="C912" t="s">
        <v>13</v>
      </c>
      <c r="D912" s="2">
        <v>0.45</v>
      </c>
      <c r="E912">
        <v>21406.28</v>
      </c>
      <c r="F912" s="2">
        <v>0.4513888888888889</v>
      </c>
      <c r="G912">
        <v>21421.27</v>
      </c>
      <c r="H912">
        <v>21421.27</v>
      </c>
      <c r="I912">
        <v>21368.82</v>
      </c>
      <c r="J912" t="s">
        <v>15</v>
      </c>
      <c r="K912">
        <v>-14.98</v>
      </c>
      <c r="L912" s="9">
        <v>-1</v>
      </c>
      <c r="M912">
        <v>0</v>
      </c>
      <c r="N912">
        <f t="shared" si="28"/>
        <v>2</v>
      </c>
      <c r="O912">
        <f t="shared" si="29"/>
        <v>0</v>
      </c>
    </row>
    <row r="913" spans="1:15" x14ac:dyDescent="0.2">
      <c r="A913" s="1">
        <v>45713</v>
      </c>
      <c r="B913">
        <v>2</v>
      </c>
      <c r="C913" t="s">
        <v>13</v>
      </c>
      <c r="D913" s="2">
        <v>0.39930555555555558</v>
      </c>
      <c r="E913">
        <v>21291.72</v>
      </c>
      <c r="F913" s="2">
        <v>0.4</v>
      </c>
      <c r="G913">
        <v>21306.63</v>
      </c>
      <c r="H913">
        <v>21306.63</v>
      </c>
      <c r="I913">
        <v>21254.46</v>
      </c>
      <c r="J913" t="s">
        <v>15</v>
      </c>
      <c r="K913">
        <v>-14.9</v>
      </c>
      <c r="L913" s="9">
        <v>-1</v>
      </c>
      <c r="M913">
        <v>0</v>
      </c>
      <c r="N913">
        <f t="shared" si="28"/>
        <v>3</v>
      </c>
      <c r="O913">
        <f t="shared" si="29"/>
        <v>0</v>
      </c>
    </row>
    <row r="914" spans="1:15" x14ac:dyDescent="0.2">
      <c r="A914" s="1">
        <v>45714</v>
      </c>
      <c r="B914">
        <v>3</v>
      </c>
      <c r="C914" t="s">
        <v>13</v>
      </c>
      <c r="D914" s="2">
        <v>0.39583333333333331</v>
      </c>
      <c r="E914">
        <v>21169.93</v>
      </c>
      <c r="F914" s="2">
        <v>0.39652777777777776</v>
      </c>
      <c r="G914">
        <v>21132.880000000001</v>
      </c>
      <c r="H914">
        <v>21184.75</v>
      </c>
      <c r="I914">
        <v>21132.880000000001</v>
      </c>
      <c r="J914" t="s">
        <v>14</v>
      </c>
      <c r="K914">
        <v>37.049999999999997</v>
      </c>
      <c r="L914" s="9">
        <v>2.5</v>
      </c>
      <c r="M914">
        <v>1</v>
      </c>
      <c r="N914">
        <f t="shared" si="28"/>
        <v>0</v>
      </c>
      <c r="O914">
        <f t="shared" si="29"/>
        <v>1</v>
      </c>
    </row>
    <row r="915" spans="1:15" x14ac:dyDescent="0.2">
      <c r="A915" s="1">
        <v>45714</v>
      </c>
      <c r="B915">
        <v>3</v>
      </c>
      <c r="C915" t="s">
        <v>16</v>
      </c>
      <c r="D915" s="2">
        <v>0.41388888888888886</v>
      </c>
      <c r="E915">
        <v>21226.32</v>
      </c>
      <c r="F915" s="2">
        <v>0.41458333333333336</v>
      </c>
      <c r="G915">
        <v>21211.47</v>
      </c>
      <c r="H915">
        <v>21211.47</v>
      </c>
      <c r="I915">
        <v>21263.47</v>
      </c>
      <c r="J915" t="s">
        <v>15</v>
      </c>
      <c r="K915">
        <v>-14.86</v>
      </c>
      <c r="L915" s="9">
        <v>-1</v>
      </c>
      <c r="M915">
        <v>0</v>
      </c>
      <c r="N915">
        <f t="shared" si="28"/>
        <v>1</v>
      </c>
      <c r="O915">
        <f t="shared" si="29"/>
        <v>0</v>
      </c>
    </row>
    <row r="916" spans="1:15" x14ac:dyDescent="0.2">
      <c r="A916" s="1">
        <v>45715</v>
      </c>
      <c r="B916">
        <v>4</v>
      </c>
      <c r="C916" t="s">
        <v>13</v>
      </c>
      <c r="D916" s="2">
        <v>0.40694444444444444</v>
      </c>
      <c r="E916">
        <v>21166.65</v>
      </c>
      <c r="F916" s="2">
        <v>0.40833333333333333</v>
      </c>
      <c r="G916">
        <v>21129.61</v>
      </c>
      <c r="H916">
        <v>21181.46</v>
      </c>
      <c r="I916">
        <v>21129.61</v>
      </c>
      <c r="J916" t="s">
        <v>14</v>
      </c>
      <c r="K916">
        <v>37.04</v>
      </c>
      <c r="L916" s="9">
        <v>2.5</v>
      </c>
      <c r="M916">
        <v>1</v>
      </c>
      <c r="N916">
        <f t="shared" si="28"/>
        <v>0</v>
      </c>
      <c r="O916">
        <f t="shared" si="29"/>
        <v>1</v>
      </c>
    </row>
    <row r="917" spans="1:15" x14ac:dyDescent="0.2">
      <c r="A917" s="1">
        <v>45716</v>
      </c>
      <c r="B917">
        <v>5</v>
      </c>
      <c r="C917" t="s">
        <v>13</v>
      </c>
      <c r="D917" s="2">
        <v>0.39930555555555558</v>
      </c>
      <c r="E917">
        <v>20453.509999999998</v>
      </c>
      <c r="F917" s="2">
        <v>0.4</v>
      </c>
      <c r="G917">
        <v>20467.830000000002</v>
      </c>
      <c r="H917">
        <v>20467.830000000002</v>
      </c>
      <c r="I917">
        <v>20417.72</v>
      </c>
      <c r="J917" t="s">
        <v>15</v>
      </c>
      <c r="K917">
        <v>-14.32</v>
      </c>
      <c r="L917" s="9">
        <v>-1</v>
      </c>
      <c r="M917">
        <v>0</v>
      </c>
      <c r="N917">
        <f t="shared" si="28"/>
        <v>1</v>
      </c>
      <c r="O917">
        <f t="shared" si="29"/>
        <v>0</v>
      </c>
    </row>
    <row r="918" spans="1:15" x14ac:dyDescent="0.2">
      <c r="A918" s="1">
        <v>45716</v>
      </c>
      <c r="B918">
        <v>5</v>
      </c>
      <c r="C918" t="s">
        <v>16</v>
      </c>
      <c r="D918" s="2">
        <v>0.42430555555555555</v>
      </c>
      <c r="E918">
        <v>20585.29</v>
      </c>
      <c r="F918" s="2">
        <v>0.42569444444444443</v>
      </c>
      <c r="G918">
        <v>20621.32</v>
      </c>
      <c r="H918">
        <v>20570.88</v>
      </c>
      <c r="I918">
        <v>20621.32</v>
      </c>
      <c r="J918" t="s">
        <v>14</v>
      </c>
      <c r="K918">
        <v>36.020000000000003</v>
      </c>
      <c r="L918" s="9">
        <v>2.5</v>
      </c>
      <c r="M918">
        <v>1</v>
      </c>
      <c r="N918">
        <f t="shared" si="28"/>
        <v>0</v>
      </c>
      <c r="O918">
        <f t="shared" si="29"/>
        <v>1</v>
      </c>
    </row>
    <row r="919" spans="1:15" x14ac:dyDescent="0.2">
      <c r="A919" s="1">
        <v>45720</v>
      </c>
      <c r="B919">
        <v>2</v>
      </c>
      <c r="C919" t="s">
        <v>13</v>
      </c>
      <c r="D919" s="2">
        <v>0.39861111111111114</v>
      </c>
      <c r="E919">
        <v>20259.32</v>
      </c>
      <c r="F919" s="2">
        <v>0.39930555555555558</v>
      </c>
      <c r="G919">
        <v>20273.509999999998</v>
      </c>
      <c r="H919">
        <v>20273.509999999998</v>
      </c>
      <c r="I919">
        <v>20223.87</v>
      </c>
      <c r="J919" t="s">
        <v>15</v>
      </c>
      <c r="K919">
        <v>-14.18</v>
      </c>
      <c r="L919" s="9">
        <v>-1</v>
      </c>
      <c r="M919">
        <v>0</v>
      </c>
      <c r="N919">
        <f t="shared" si="28"/>
        <v>1</v>
      </c>
      <c r="O919">
        <f t="shared" si="29"/>
        <v>0</v>
      </c>
    </row>
    <row r="920" spans="1:15" x14ac:dyDescent="0.2">
      <c r="A920" s="1">
        <v>45720</v>
      </c>
      <c r="B920">
        <v>2</v>
      </c>
      <c r="C920" t="s">
        <v>13</v>
      </c>
      <c r="D920" s="2">
        <v>0.41944444444444445</v>
      </c>
      <c r="E920">
        <v>20180.41</v>
      </c>
      <c r="F920" s="2">
        <v>0.4201388888888889</v>
      </c>
      <c r="G920">
        <v>20194.54</v>
      </c>
      <c r="H920">
        <v>20194.54</v>
      </c>
      <c r="I920">
        <v>20145.099999999999</v>
      </c>
      <c r="J920" t="s">
        <v>15</v>
      </c>
      <c r="K920">
        <v>-14.13</v>
      </c>
      <c r="L920" s="9">
        <v>-1</v>
      </c>
      <c r="M920">
        <v>0</v>
      </c>
      <c r="N920">
        <f t="shared" si="28"/>
        <v>2</v>
      </c>
      <c r="O920">
        <f t="shared" si="29"/>
        <v>0</v>
      </c>
    </row>
    <row r="921" spans="1:15" x14ac:dyDescent="0.2">
      <c r="A921" s="1">
        <v>45722</v>
      </c>
      <c r="B921">
        <v>4</v>
      </c>
      <c r="C921" t="s">
        <v>13</v>
      </c>
      <c r="D921" s="2">
        <v>0.39791666666666664</v>
      </c>
      <c r="E921">
        <v>20233.47</v>
      </c>
      <c r="F921" s="2">
        <v>0.4</v>
      </c>
      <c r="G921">
        <v>20198.060000000001</v>
      </c>
      <c r="H921">
        <v>20247.63</v>
      </c>
      <c r="I921">
        <v>20198.060000000001</v>
      </c>
      <c r="J921" t="s">
        <v>14</v>
      </c>
      <c r="K921">
        <v>35.409999999999997</v>
      </c>
      <c r="L921" s="9">
        <v>2.5</v>
      </c>
      <c r="M921">
        <v>1</v>
      </c>
      <c r="N921">
        <f t="shared" si="28"/>
        <v>0</v>
      </c>
      <c r="O921">
        <f t="shared" si="29"/>
        <v>1</v>
      </c>
    </row>
    <row r="922" spans="1:15" x14ac:dyDescent="0.2">
      <c r="A922" s="1">
        <v>45722</v>
      </c>
      <c r="B922">
        <v>4</v>
      </c>
      <c r="C922" t="s">
        <v>16</v>
      </c>
      <c r="D922" s="2">
        <v>0.4236111111111111</v>
      </c>
      <c r="E922">
        <v>20349.29</v>
      </c>
      <c r="F922" s="2">
        <v>0.42777777777777776</v>
      </c>
      <c r="G922">
        <v>20384.900000000001</v>
      </c>
      <c r="H922">
        <v>20335.05</v>
      </c>
      <c r="I922">
        <v>20384.900000000001</v>
      </c>
      <c r="J922" t="s">
        <v>14</v>
      </c>
      <c r="K922">
        <v>35.61</v>
      </c>
      <c r="L922" s="9">
        <v>2.5</v>
      </c>
      <c r="M922">
        <v>1</v>
      </c>
      <c r="N922">
        <f t="shared" si="28"/>
        <v>0</v>
      </c>
      <c r="O922">
        <f t="shared" si="29"/>
        <v>2</v>
      </c>
    </row>
    <row r="923" spans="1:15" x14ac:dyDescent="0.2">
      <c r="A923" s="1">
        <v>45723</v>
      </c>
      <c r="B923">
        <v>5</v>
      </c>
      <c r="C923" t="s">
        <v>16</v>
      </c>
      <c r="D923" s="2">
        <v>0.40555555555555556</v>
      </c>
      <c r="E923">
        <v>20102.98</v>
      </c>
      <c r="F923" s="2">
        <v>0.40694444444444444</v>
      </c>
      <c r="G923">
        <v>20138.16</v>
      </c>
      <c r="H923">
        <v>20088.91</v>
      </c>
      <c r="I923">
        <v>20138.16</v>
      </c>
      <c r="J923" t="s">
        <v>14</v>
      </c>
      <c r="K923">
        <v>35.18</v>
      </c>
      <c r="L923" s="9">
        <v>2.5</v>
      </c>
      <c r="M923">
        <v>1</v>
      </c>
      <c r="N923">
        <f t="shared" si="28"/>
        <v>0</v>
      </c>
      <c r="O923">
        <f t="shared" si="29"/>
        <v>3</v>
      </c>
    </row>
    <row r="924" spans="1:15" x14ac:dyDescent="0.2">
      <c r="A924" s="1">
        <v>45723</v>
      </c>
      <c r="B924">
        <v>5</v>
      </c>
      <c r="C924" t="s">
        <v>13</v>
      </c>
      <c r="D924" s="2">
        <v>0.43055555555555558</v>
      </c>
      <c r="E924">
        <v>20049.93</v>
      </c>
      <c r="F924" s="2">
        <v>0.43333333333333335</v>
      </c>
      <c r="G924">
        <v>20063.96</v>
      </c>
      <c r="H924">
        <v>20063.96</v>
      </c>
      <c r="I924">
        <v>20014.84</v>
      </c>
      <c r="J924" t="s">
        <v>15</v>
      </c>
      <c r="K924">
        <v>-14.03</v>
      </c>
      <c r="L924" s="9">
        <v>-1</v>
      </c>
      <c r="M924">
        <v>0</v>
      </c>
      <c r="N924">
        <f t="shared" si="28"/>
        <v>1</v>
      </c>
      <c r="O924">
        <f t="shared" si="29"/>
        <v>0</v>
      </c>
    </row>
    <row r="925" spans="1:15" x14ac:dyDescent="0.2">
      <c r="A925" s="1">
        <v>45726</v>
      </c>
      <c r="B925">
        <v>1</v>
      </c>
      <c r="C925" t="s">
        <v>13</v>
      </c>
      <c r="D925" s="2">
        <v>0.39652777777777776</v>
      </c>
      <c r="E925">
        <v>19840.97</v>
      </c>
      <c r="F925" s="2">
        <v>0.3972222222222222</v>
      </c>
      <c r="G925">
        <v>19806.25</v>
      </c>
      <c r="H925">
        <v>19854.86</v>
      </c>
      <c r="I925">
        <v>19806.25</v>
      </c>
      <c r="J925" t="s">
        <v>14</v>
      </c>
      <c r="K925">
        <v>34.72</v>
      </c>
      <c r="L925" s="9">
        <v>2.5</v>
      </c>
      <c r="M925">
        <v>1</v>
      </c>
      <c r="N925">
        <f t="shared" si="28"/>
        <v>0</v>
      </c>
      <c r="O925">
        <f t="shared" si="29"/>
        <v>1</v>
      </c>
    </row>
    <row r="926" spans="1:15" x14ac:dyDescent="0.2">
      <c r="A926" s="1">
        <v>45726</v>
      </c>
      <c r="B926">
        <v>1</v>
      </c>
      <c r="C926" t="s">
        <v>13</v>
      </c>
      <c r="D926" s="2">
        <v>0.4201388888888889</v>
      </c>
      <c r="E926">
        <v>19685.689999999999</v>
      </c>
      <c r="F926" s="2">
        <v>0.4236111111111111</v>
      </c>
      <c r="G926">
        <v>19651.240000000002</v>
      </c>
      <c r="H926">
        <v>19699.47</v>
      </c>
      <c r="I926">
        <v>19651.240000000002</v>
      </c>
      <c r="J926" t="s">
        <v>14</v>
      </c>
      <c r="K926">
        <v>34.450000000000003</v>
      </c>
      <c r="L926" s="9">
        <v>2.5</v>
      </c>
      <c r="M926">
        <v>1</v>
      </c>
      <c r="N926">
        <f t="shared" si="28"/>
        <v>0</v>
      </c>
      <c r="O926">
        <f t="shared" si="29"/>
        <v>2</v>
      </c>
    </row>
    <row r="927" spans="1:15" x14ac:dyDescent="0.2">
      <c r="A927" s="1">
        <v>45727</v>
      </c>
      <c r="B927">
        <v>2</v>
      </c>
      <c r="C927" t="s">
        <v>13</v>
      </c>
      <c r="D927" s="2">
        <v>0.39583333333333331</v>
      </c>
      <c r="E927">
        <v>19391.12</v>
      </c>
      <c r="F927" s="2">
        <v>0.39652777777777776</v>
      </c>
      <c r="G927">
        <v>19404.689999999999</v>
      </c>
      <c r="H927">
        <v>19404.689999999999</v>
      </c>
      <c r="I927">
        <v>19357.18</v>
      </c>
      <c r="J927" t="s">
        <v>15</v>
      </c>
      <c r="K927">
        <v>-13.57</v>
      </c>
      <c r="L927" s="9">
        <v>-1</v>
      </c>
      <c r="M927">
        <v>0</v>
      </c>
      <c r="N927">
        <f t="shared" si="28"/>
        <v>1</v>
      </c>
      <c r="O927">
        <f t="shared" si="29"/>
        <v>0</v>
      </c>
    </row>
    <row r="928" spans="1:15" x14ac:dyDescent="0.2">
      <c r="A928" s="1">
        <v>45727</v>
      </c>
      <c r="B928">
        <v>2</v>
      </c>
      <c r="C928" t="s">
        <v>16</v>
      </c>
      <c r="D928" s="2">
        <v>0.41041666666666665</v>
      </c>
      <c r="E928">
        <v>19527.330000000002</v>
      </c>
      <c r="F928" s="2">
        <v>0.41180555555555554</v>
      </c>
      <c r="G928">
        <v>19513.66</v>
      </c>
      <c r="H928">
        <v>19513.66</v>
      </c>
      <c r="I928">
        <v>19561.509999999998</v>
      </c>
      <c r="J928" t="s">
        <v>15</v>
      </c>
      <c r="K928">
        <v>-13.67</v>
      </c>
      <c r="L928" s="9">
        <v>-1</v>
      </c>
      <c r="M928">
        <v>0</v>
      </c>
      <c r="N928">
        <f t="shared" si="28"/>
        <v>2</v>
      </c>
      <c r="O928">
        <f t="shared" si="29"/>
        <v>0</v>
      </c>
    </row>
    <row r="929" spans="1:15" x14ac:dyDescent="0.2">
      <c r="A929" s="1">
        <v>45727</v>
      </c>
      <c r="B929">
        <v>2</v>
      </c>
      <c r="C929" t="s">
        <v>13</v>
      </c>
      <c r="D929" s="2">
        <v>0.4375</v>
      </c>
      <c r="E929">
        <v>19308.419999999998</v>
      </c>
      <c r="F929" s="2">
        <v>0.43819444444444444</v>
      </c>
      <c r="G929">
        <v>19321.939999999999</v>
      </c>
      <c r="H929">
        <v>19321.939999999999</v>
      </c>
      <c r="I929">
        <v>19274.63</v>
      </c>
      <c r="J929" t="s">
        <v>15</v>
      </c>
      <c r="K929">
        <v>-13.52</v>
      </c>
      <c r="L929" s="9">
        <v>-1</v>
      </c>
      <c r="M929">
        <v>0</v>
      </c>
      <c r="N929">
        <f t="shared" si="28"/>
        <v>3</v>
      </c>
      <c r="O929">
        <f t="shared" si="29"/>
        <v>0</v>
      </c>
    </row>
    <row r="930" spans="1:15" x14ac:dyDescent="0.2">
      <c r="A930" s="1">
        <v>45728</v>
      </c>
      <c r="B930">
        <v>3</v>
      </c>
      <c r="C930" t="s">
        <v>13</v>
      </c>
      <c r="D930" s="2">
        <v>0.44166666666666665</v>
      </c>
      <c r="E930">
        <v>19530.55</v>
      </c>
      <c r="F930" s="2">
        <v>0.44236111111111109</v>
      </c>
      <c r="G930">
        <v>19496.37</v>
      </c>
      <c r="H930">
        <v>19544.22</v>
      </c>
      <c r="I930">
        <v>19496.37</v>
      </c>
      <c r="J930" t="s">
        <v>14</v>
      </c>
      <c r="K930">
        <v>34.18</v>
      </c>
      <c r="L930" s="9">
        <v>2.5</v>
      </c>
      <c r="M930">
        <v>1</v>
      </c>
      <c r="N930">
        <f t="shared" si="28"/>
        <v>0</v>
      </c>
      <c r="O930">
        <f t="shared" si="29"/>
        <v>1</v>
      </c>
    </row>
    <row r="931" spans="1:15" x14ac:dyDescent="0.2">
      <c r="A931" s="1">
        <v>45729</v>
      </c>
      <c r="B931">
        <v>4</v>
      </c>
      <c r="C931" t="s">
        <v>13</v>
      </c>
      <c r="D931" s="2">
        <v>0.40694444444444444</v>
      </c>
      <c r="E931">
        <v>19464.73</v>
      </c>
      <c r="F931" s="2">
        <v>0.40972222222222221</v>
      </c>
      <c r="G931">
        <v>19430.669999999998</v>
      </c>
      <c r="H931">
        <v>19478.349999999999</v>
      </c>
      <c r="I931">
        <v>19430.669999999998</v>
      </c>
      <c r="J931" t="s">
        <v>14</v>
      </c>
      <c r="K931">
        <v>34.06</v>
      </c>
      <c r="L931" s="9">
        <v>2.5</v>
      </c>
      <c r="M931">
        <v>1</v>
      </c>
      <c r="N931">
        <f t="shared" si="28"/>
        <v>0</v>
      </c>
      <c r="O931">
        <f t="shared" si="29"/>
        <v>2</v>
      </c>
    </row>
    <row r="932" spans="1:15" x14ac:dyDescent="0.2">
      <c r="A932" s="1">
        <v>45729</v>
      </c>
      <c r="B932">
        <v>4</v>
      </c>
      <c r="C932" t="s">
        <v>16</v>
      </c>
      <c r="D932" s="2">
        <v>0.43194444444444446</v>
      </c>
      <c r="E932">
        <v>19476.91</v>
      </c>
      <c r="F932" s="2">
        <v>0.43333333333333335</v>
      </c>
      <c r="G932">
        <v>19511</v>
      </c>
      <c r="H932">
        <v>19463.28</v>
      </c>
      <c r="I932">
        <v>19511</v>
      </c>
      <c r="J932" t="s">
        <v>14</v>
      </c>
      <c r="K932">
        <v>34.08</v>
      </c>
      <c r="L932" s="9">
        <v>2.5</v>
      </c>
      <c r="M932">
        <v>1</v>
      </c>
      <c r="N932">
        <f t="shared" si="28"/>
        <v>0</v>
      </c>
      <c r="O932">
        <f t="shared" si="29"/>
        <v>3</v>
      </c>
    </row>
    <row r="933" spans="1:15" x14ac:dyDescent="0.2">
      <c r="A933" s="1">
        <v>45729</v>
      </c>
      <c r="B933">
        <v>4</v>
      </c>
      <c r="C933" t="s">
        <v>13</v>
      </c>
      <c r="D933" s="2">
        <v>0.44791666666666669</v>
      </c>
      <c r="E933">
        <v>19399.759999999998</v>
      </c>
      <c r="F933" s="2">
        <v>0.44861111111111113</v>
      </c>
      <c r="G933">
        <v>19413.330000000002</v>
      </c>
      <c r="H933">
        <v>19413.330000000002</v>
      </c>
      <c r="I933">
        <v>19365.810000000001</v>
      </c>
      <c r="J933" t="s">
        <v>15</v>
      </c>
      <c r="K933">
        <v>-13.58</v>
      </c>
      <c r="L933" s="9">
        <v>-1</v>
      </c>
      <c r="M933">
        <v>0</v>
      </c>
      <c r="N933">
        <f t="shared" si="28"/>
        <v>1</v>
      </c>
      <c r="O933">
        <f t="shared" si="29"/>
        <v>0</v>
      </c>
    </row>
    <row r="934" spans="1:15" x14ac:dyDescent="0.2">
      <c r="A934" s="1">
        <v>45730</v>
      </c>
      <c r="B934">
        <v>5</v>
      </c>
      <c r="C934" t="s">
        <v>13</v>
      </c>
      <c r="D934" s="2">
        <v>0.39583333333333331</v>
      </c>
      <c r="E934">
        <v>19441.73</v>
      </c>
      <c r="F934" s="2">
        <v>0.39652777777777776</v>
      </c>
      <c r="G934">
        <v>19455.34</v>
      </c>
      <c r="H934">
        <v>19455.34</v>
      </c>
      <c r="I934">
        <v>19407.71</v>
      </c>
      <c r="J934" t="s">
        <v>15</v>
      </c>
      <c r="K934">
        <v>-13.61</v>
      </c>
      <c r="L934" s="9">
        <v>-1</v>
      </c>
      <c r="M934">
        <v>0</v>
      </c>
      <c r="N934">
        <f t="shared" si="28"/>
        <v>2</v>
      </c>
      <c r="O934">
        <f t="shared" si="29"/>
        <v>0</v>
      </c>
    </row>
    <row r="935" spans="1:15" x14ac:dyDescent="0.2">
      <c r="A935" s="1">
        <v>45730</v>
      </c>
      <c r="B935">
        <v>5</v>
      </c>
      <c r="C935" t="s">
        <v>16</v>
      </c>
      <c r="D935" s="2">
        <v>0.40277777777777779</v>
      </c>
      <c r="E935">
        <v>19541.650000000001</v>
      </c>
      <c r="F935" s="2">
        <v>0.40416666666666667</v>
      </c>
      <c r="G935">
        <v>19527.97</v>
      </c>
      <c r="H935">
        <v>19527.97</v>
      </c>
      <c r="I935">
        <v>19575.849999999999</v>
      </c>
      <c r="J935" t="s">
        <v>15</v>
      </c>
      <c r="K935">
        <v>-13.68</v>
      </c>
      <c r="L935" s="9">
        <v>-1</v>
      </c>
      <c r="M935">
        <v>0</v>
      </c>
      <c r="N935">
        <f t="shared" si="28"/>
        <v>3</v>
      </c>
      <c r="O935">
        <f t="shared" si="29"/>
        <v>0</v>
      </c>
    </row>
    <row r="936" spans="1:15" x14ac:dyDescent="0.2">
      <c r="A936" s="1">
        <v>45730</v>
      </c>
      <c r="B936">
        <v>5</v>
      </c>
      <c r="C936" t="s">
        <v>13</v>
      </c>
      <c r="D936" s="2">
        <v>0.42638888888888887</v>
      </c>
      <c r="E936">
        <v>19466.16</v>
      </c>
      <c r="F936" s="2">
        <v>0.43055555555555558</v>
      </c>
      <c r="G936">
        <v>19432.099999999999</v>
      </c>
      <c r="H936">
        <v>19479.79</v>
      </c>
      <c r="I936">
        <v>19432.099999999999</v>
      </c>
      <c r="J936" t="s">
        <v>14</v>
      </c>
      <c r="K936">
        <v>34.07</v>
      </c>
      <c r="L936" s="9">
        <v>2.5</v>
      </c>
      <c r="M936">
        <v>1</v>
      </c>
      <c r="N936">
        <f t="shared" si="28"/>
        <v>0</v>
      </c>
      <c r="O936">
        <f t="shared" si="29"/>
        <v>1</v>
      </c>
    </row>
    <row r="937" spans="1:15" x14ac:dyDescent="0.2">
      <c r="A937" s="1">
        <v>45733</v>
      </c>
      <c r="B937">
        <v>1</v>
      </c>
      <c r="C937" t="s">
        <v>16</v>
      </c>
      <c r="D937" s="2">
        <v>0.40486111111111112</v>
      </c>
      <c r="E937">
        <v>19804.64</v>
      </c>
      <c r="F937" s="2">
        <v>0.40555555555555556</v>
      </c>
      <c r="G937">
        <v>19790.77</v>
      </c>
      <c r="H937">
        <v>19790.77</v>
      </c>
      <c r="I937">
        <v>19839.29</v>
      </c>
      <c r="J937" t="s">
        <v>15</v>
      </c>
      <c r="K937">
        <v>-13.86</v>
      </c>
      <c r="L937" s="9">
        <v>-1</v>
      </c>
      <c r="M937">
        <v>0</v>
      </c>
      <c r="N937">
        <f t="shared" si="28"/>
        <v>1</v>
      </c>
      <c r="O937">
        <f t="shared" si="29"/>
        <v>0</v>
      </c>
    </row>
    <row r="938" spans="1:15" x14ac:dyDescent="0.2">
      <c r="A938" s="1">
        <v>45734</v>
      </c>
      <c r="B938">
        <v>2</v>
      </c>
      <c r="C938" t="s">
        <v>13</v>
      </c>
      <c r="D938" s="2">
        <v>0.40208333333333335</v>
      </c>
      <c r="E938">
        <v>19576.419999999998</v>
      </c>
      <c r="F938" s="2">
        <v>0.40277777777777779</v>
      </c>
      <c r="G938">
        <v>19542.16</v>
      </c>
      <c r="H938">
        <v>19590.12</v>
      </c>
      <c r="I938">
        <v>19542.16</v>
      </c>
      <c r="J938" t="s">
        <v>14</v>
      </c>
      <c r="K938">
        <v>34.26</v>
      </c>
      <c r="L938" s="9">
        <v>2.5</v>
      </c>
      <c r="M938">
        <v>1</v>
      </c>
      <c r="N938">
        <f t="shared" si="28"/>
        <v>0</v>
      </c>
      <c r="O938">
        <f t="shared" si="29"/>
        <v>1</v>
      </c>
    </row>
    <row r="939" spans="1:15" x14ac:dyDescent="0.2">
      <c r="A939" s="1">
        <v>45734</v>
      </c>
      <c r="B939">
        <v>2</v>
      </c>
      <c r="C939" t="s">
        <v>16</v>
      </c>
      <c r="D939" s="2">
        <v>0.44513888888888886</v>
      </c>
      <c r="E939">
        <v>19487.509999999998</v>
      </c>
      <c r="F939" s="2">
        <v>0.44722222222222224</v>
      </c>
      <c r="G939">
        <v>19473.87</v>
      </c>
      <c r="H939">
        <v>19473.87</v>
      </c>
      <c r="I939">
        <v>19521.62</v>
      </c>
      <c r="J939" t="s">
        <v>15</v>
      </c>
      <c r="K939">
        <v>-13.64</v>
      </c>
      <c r="L939" s="9">
        <v>-1</v>
      </c>
      <c r="M939">
        <v>0</v>
      </c>
      <c r="N939">
        <f t="shared" si="28"/>
        <v>1</v>
      </c>
      <c r="O939">
        <f t="shared" si="29"/>
        <v>0</v>
      </c>
    </row>
    <row r="940" spans="1:15" x14ac:dyDescent="0.2">
      <c r="A940" s="1">
        <v>45736</v>
      </c>
      <c r="B940">
        <v>4</v>
      </c>
      <c r="C940" t="s">
        <v>16</v>
      </c>
      <c r="D940" s="2">
        <v>0.40555555555555556</v>
      </c>
      <c r="E940">
        <v>19664.39</v>
      </c>
      <c r="F940" s="2">
        <v>0.40694444444444444</v>
      </c>
      <c r="G940">
        <v>19698.8</v>
      </c>
      <c r="H940">
        <v>19650.62</v>
      </c>
      <c r="I940">
        <v>19698.8</v>
      </c>
      <c r="J940" t="s">
        <v>14</v>
      </c>
      <c r="K940">
        <v>34.409999999999997</v>
      </c>
      <c r="L940" s="9">
        <v>2.5</v>
      </c>
      <c r="M940">
        <v>1</v>
      </c>
      <c r="N940">
        <f t="shared" si="28"/>
        <v>0</v>
      </c>
      <c r="O940">
        <f t="shared" si="29"/>
        <v>1</v>
      </c>
    </row>
    <row r="941" spans="1:15" x14ac:dyDescent="0.2">
      <c r="A941" s="1">
        <v>45737</v>
      </c>
      <c r="B941">
        <v>5</v>
      </c>
      <c r="C941" t="s">
        <v>16</v>
      </c>
      <c r="D941" s="2">
        <v>0.41111111111111109</v>
      </c>
      <c r="E941">
        <v>19510</v>
      </c>
      <c r="F941" s="2">
        <v>0.41180555555555554</v>
      </c>
      <c r="G941">
        <v>19496.34</v>
      </c>
      <c r="H941">
        <v>19496.34</v>
      </c>
      <c r="I941">
        <v>19544.14</v>
      </c>
      <c r="J941" t="s">
        <v>15</v>
      </c>
      <c r="K941">
        <v>-13.66</v>
      </c>
      <c r="L941" s="9">
        <v>-1</v>
      </c>
      <c r="M941">
        <v>0</v>
      </c>
      <c r="N941">
        <f t="shared" si="28"/>
        <v>1</v>
      </c>
      <c r="O941">
        <f t="shared" si="29"/>
        <v>0</v>
      </c>
    </row>
    <row r="942" spans="1:15" x14ac:dyDescent="0.2">
      <c r="A942" s="1">
        <v>45737</v>
      </c>
      <c r="B942">
        <v>5</v>
      </c>
      <c r="C942" t="s">
        <v>16</v>
      </c>
      <c r="D942" s="2">
        <v>0.43402777777777779</v>
      </c>
      <c r="E942">
        <v>19544.099999999999</v>
      </c>
      <c r="F942" s="2">
        <v>0.4375</v>
      </c>
      <c r="G942">
        <v>19530.419999999998</v>
      </c>
      <c r="H942">
        <v>19530.419999999998</v>
      </c>
      <c r="I942">
        <v>19578.3</v>
      </c>
      <c r="J942" t="s">
        <v>15</v>
      </c>
      <c r="K942">
        <v>-13.68</v>
      </c>
      <c r="L942" s="9">
        <v>-1</v>
      </c>
      <c r="M942">
        <v>0</v>
      </c>
      <c r="N942">
        <f t="shared" si="28"/>
        <v>2</v>
      </c>
      <c r="O942">
        <f t="shared" si="29"/>
        <v>0</v>
      </c>
    </row>
    <row r="943" spans="1:15" x14ac:dyDescent="0.2">
      <c r="A943" s="1">
        <v>45741</v>
      </c>
      <c r="B943">
        <v>2</v>
      </c>
      <c r="C943" t="s">
        <v>13</v>
      </c>
      <c r="D943" s="2">
        <v>0.40138888888888891</v>
      </c>
      <c r="E943">
        <v>20196.98</v>
      </c>
      <c r="F943" s="2">
        <v>0.40277777777777779</v>
      </c>
      <c r="G943">
        <v>20211.12</v>
      </c>
      <c r="H943">
        <v>20211.12</v>
      </c>
      <c r="I943">
        <v>20161.64</v>
      </c>
      <c r="J943" t="s">
        <v>15</v>
      </c>
      <c r="K943">
        <v>-14.14</v>
      </c>
      <c r="L943" s="9">
        <v>-1</v>
      </c>
      <c r="M943">
        <v>0</v>
      </c>
      <c r="N943">
        <f t="shared" si="28"/>
        <v>3</v>
      </c>
      <c r="O943">
        <f t="shared" si="29"/>
        <v>0</v>
      </c>
    </row>
    <row r="944" spans="1:15" x14ac:dyDescent="0.2">
      <c r="A944" s="1">
        <v>45741</v>
      </c>
      <c r="B944">
        <v>2</v>
      </c>
      <c r="C944" t="s">
        <v>16</v>
      </c>
      <c r="D944" s="2">
        <v>0.4284722222222222</v>
      </c>
      <c r="E944">
        <v>20229.21</v>
      </c>
      <c r="F944" s="2">
        <v>0.44374999999999998</v>
      </c>
      <c r="G944">
        <v>20264.61</v>
      </c>
      <c r="H944">
        <v>20215.05</v>
      </c>
      <c r="I944">
        <v>20264.61</v>
      </c>
      <c r="J944" t="s">
        <v>14</v>
      </c>
      <c r="K944">
        <v>35.4</v>
      </c>
      <c r="L944" s="9">
        <v>2.5</v>
      </c>
      <c r="M944">
        <v>1</v>
      </c>
      <c r="N944">
        <f t="shared" si="28"/>
        <v>0</v>
      </c>
      <c r="O944">
        <f t="shared" si="29"/>
        <v>1</v>
      </c>
    </row>
    <row r="945" spans="1:15" x14ac:dyDescent="0.2">
      <c r="A945" s="1">
        <v>45742</v>
      </c>
      <c r="B945">
        <v>3</v>
      </c>
      <c r="C945" t="s">
        <v>13</v>
      </c>
      <c r="D945" s="2">
        <v>0.39583333333333331</v>
      </c>
      <c r="E945">
        <v>20245.63</v>
      </c>
      <c r="F945" s="2">
        <v>0.3972222222222222</v>
      </c>
      <c r="G945">
        <v>20259.810000000001</v>
      </c>
      <c r="H945">
        <v>20259.810000000001</v>
      </c>
      <c r="I945">
        <v>20210.2</v>
      </c>
      <c r="J945" t="s">
        <v>15</v>
      </c>
      <c r="K945">
        <v>-14.17</v>
      </c>
      <c r="L945" s="9">
        <v>-1</v>
      </c>
      <c r="M945">
        <v>0</v>
      </c>
      <c r="N945">
        <f t="shared" si="28"/>
        <v>1</v>
      </c>
      <c r="O945">
        <f t="shared" si="29"/>
        <v>0</v>
      </c>
    </row>
    <row r="946" spans="1:15" x14ac:dyDescent="0.2">
      <c r="A946" s="1">
        <v>45742</v>
      </c>
      <c r="B946">
        <v>3</v>
      </c>
      <c r="C946" t="s">
        <v>13</v>
      </c>
      <c r="D946" s="2">
        <v>0.41041666666666665</v>
      </c>
      <c r="E946">
        <v>20207.13</v>
      </c>
      <c r="F946" s="2">
        <v>0.41180555555555554</v>
      </c>
      <c r="G946">
        <v>20171.77</v>
      </c>
      <c r="H946">
        <v>20221.27</v>
      </c>
      <c r="I946">
        <v>20171.77</v>
      </c>
      <c r="J946" t="s">
        <v>14</v>
      </c>
      <c r="K946">
        <v>35.36</v>
      </c>
      <c r="L946" s="9">
        <v>2.5</v>
      </c>
      <c r="M946">
        <v>1</v>
      </c>
      <c r="N946">
        <f t="shared" si="28"/>
        <v>0</v>
      </c>
      <c r="O946">
        <f t="shared" si="29"/>
        <v>1</v>
      </c>
    </row>
    <row r="947" spans="1:15" x14ac:dyDescent="0.2">
      <c r="A947" s="1">
        <v>45743</v>
      </c>
      <c r="B947">
        <v>4</v>
      </c>
      <c r="C947" t="s">
        <v>13</v>
      </c>
      <c r="D947" s="2">
        <v>0.40347222222222223</v>
      </c>
      <c r="E947">
        <v>19765.759999999998</v>
      </c>
      <c r="F947" s="2">
        <v>0.40555555555555556</v>
      </c>
      <c r="G947">
        <v>19779.599999999999</v>
      </c>
      <c r="H947">
        <v>19779.599999999999</v>
      </c>
      <c r="I947">
        <v>19731.169999999998</v>
      </c>
      <c r="J947" t="s">
        <v>15</v>
      </c>
      <c r="K947">
        <v>-13.84</v>
      </c>
      <c r="L947" s="9">
        <v>-1</v>
      </c>
      <c r="M947">
        <v>0</v>
      </c>
      <c r="N947">
        <f t="shared" si="28"/>
        <v>1</v>
      </c>
      <c r="O947">
        <f t="shared" si="29"/>
        <v>0</v>
      </c>
    </row>
    <row r="948" spans="1:15" x14ac:dyDescent="0.2">
      <c r="A948" s="1">
        <v>45743</v>
      </c>
      <c r="B948">
        <v>4</v>
      </c>
      <c r="C948" t="s">
        <v>16</v>
      </c>
      <c r="D948" s="2">
        <v>0.41666666666666669</v>
      </c>
      <c r="E948">
        <v>19880.150000000001</v>
      </c>
      <c r="F948" s="2">
        <v>0.42152777777777778</v>
      </c>
      <c r="G948">
        <v>19866.23</v>
      </c>
      <c r="H948">
        <v>19866.23</v>
      </c>
      <c r="I948">
        <v>19914.939999999999</v>
      </c>
      <c r="J948" t="s">
        <v>15</v>
      </c>
      <c r="K948">
        <v>-13.92</v>
      </c>
      <c r="L948" s="9">
        <v>-1</v>
      </c>
      <c r="M948">
        <v>0</v>
      </c>
      <c r="N948">
        <f t="shared" si="28"/>
        <v>2</v>
      </c>
      <c r="O948">
        <f t="shared" si="29"/>
        <v>0</v>
      </c>
    </row>
    <row r="949" spans="1:15" x14ac:dyDescent="0.2">
      <c r="A949" s="1">
        <v>45743</v>
      </c>
      <c r="B949">
        <v>4</v>
      </c>
      <c r="C949" t="s">
        <v>16</v>
      </c>
      <c r="D949" s="2">
        <v>0.44166666666666665</v>
      </c>
      <c r="E949">
        <v>19931.48</v>
      </c>
      <c r="F949" s="2">
        <v>0.44305555555555554</v>
      </c>
      <c r="G949">
        <v>19966.36</v>
      </c>
      <c r="H949">
        <v>19917.53</v>
      </c>
      <c r="I949">
        <v>19966.36</v>
      </c>
      <c r="J949" t="s">
        <v>14</v>
      </c>
      <c r="K949">
        <v>34.880000000000003</v>
      </c>
      <c r="L949" s="9">
        <v>2.5</v>
      </c>
      <c r="M949">
        <v>1</v>
      </c>
      <c r="N949">
        <f t="shared" si="28"/>
        <v>0</v>
      </c>
      <c r="O949">
        <f t="shared" si="29"/>
        <v>1</v>
      </c>
    </row>
    <row r="950" spans="1:15" x14ac:dyDescent="0.2">
      <c r="A950" s="1">
        <v>45744</v>
      </c>
      <c r="B950">
        <v>5</v>
      </c>
      <c r="C950" t="s">
        <v>13</v>
      </c>
      <c r="D950" s="2">
        <v>0.4152777777777778</v>
      </c>
      <c r="E950">
        <v>19674.240000000002</v>
      </c>
      <c r="F950" s="2">
        <v>0.41666666666666669</v>
      </c>
      <c r="G950">
        <v>19688.009999999998</v>
      </c>
      <c r="H950">
        <v>19688.009999999998</v>
      </c>
      <c r="I950">
        <v>19639.810000000001</v>
      </c>
      <c r="J950" t="s">
        <v>17</v>
      </c>
      <c r="K950">
        <v>-13.77</v>
      </c>
      <c r="L950" s="9">
        <v>-1</v>
      </c>
      <c r="M950">
        <v>0</v>
      </c>
      <c r="N950">
        <f t="shared" si="28"/>
        <v>1</v>
      </c>
      <c r="O950">
        <f t="shared" si="29"/>
        <v>0</v>
      </c>
    </row>
    <row r="951" spans="1:15" x14ac:dyDescent="0.2">
      <c r="A951" s="1">
        <v>45747</v>
      </c>
      <c r="B951">
        <v>1</v>
      </c>
      <c r="C951" t="s">
        <v>13</v>
      </c>
      <c r="D951" s="2">
        <v>0.39583333333333331</v>
      </c>
      <c r="E951">
        <v>18988.580000000002</v>
      </c>
      <c r="F951" s="2">
        <v>0.39652777777777776</v>
      </c>
      <c r="G951">
        <v>18955.349999999999</v>
      </c>
      <c r="H951">
        <v>19001.87</v>
      </c>
      <c r="I951">
        <v>18955.349999999999</v>
      </c>
      <c r="J951" t="s">
        <v>14</v>
      </c>
      <c r="K951">
        <v>33.229999999999997</v>
      </c>
      <c r="L951" s="9">
        <v>2.5</v>
      </c>
      <c r="M951">
        <v>1</v>
      </c>
      <c r="N951">
        <f t="shared" si="28"/>
        <v>0</v>
      </c>
      <c r="O951">
        <f t="shared" si="29"/>
        <v>1</v>
      </c>
    </row>
    <row r="952" spans="1:15" x14ac:dyDescent="0.2">
      <c r="A952" s="1">
        <v>45747</v>
      </c>
      <c r="B952">
        <v>1</v>
      </c>
      <c r="C952" t="s">
        <v>16</v>
      </c>
      <c r="D952" s="2">
        <v>0.42430555555555555</v>
      </c>
      <c r="E952">
        <v>18961.18</v>
      </c>
      <c r="F952" s="2">
        <v>0.42499999999999999</v>
      </c>
      <c r="G952">
        <v>18947.91</v>
      </c>
      <c r="H952">
        <v>18947.91</v>
      </c>
      <c r="I952">
        <v>18994.36</v>
      </c>
      <c r="J952" t="s">
        <v>15</v>
      </c>
      <c r="K952">
        <v>-13.27</v>
      </c>
      <c r="L952" s="9">
        <v>-1</v>
      </c>
      <c r="M952">
        <v>0</v>
      </c>
      <c r="N952">
        <f t="shared" si="28"/>
        <v>1</v>
      </c>
      <c r="O952">
        <f t="shared" si="29"/>
        <v>0</v>
      </c>
    </row>
    <row r="953" spans="1:15" x14ac:dyDescent="0.2">
      <c r="A953" s="1">
        <v>45747</v>
      </c>
      <c r="B953">
        <v>1</v>
      </c>
      <c r="C953" t="s">
        <v>13</v>
      </c>
      <c r="D953" s="2">
        <v>0.4375</v>
      </c>
      <c r="E953">
        <v>18889.14</v>
      </c>
      <c r="F953" s="2">
        <v>0.43819444444444444</v>
      </c>
      <c r="G953">
        <v>18902.36</v>
      </c>
      <c r="H953">
        <v>18902.36</v>
      </c>
      <c r="I953">
        <v>18856.080000000002</v>
      </c>
      <c r="J953" t="s">
        <v>15</v>
      </c>
      <c r="K953">
        <v>-13.22</v>
      </c>
      <c r="L953" s="9">
        <v>-1</v>
      </c>
      <c r="M953">
        <v>0</v>
      </c>
      <c r="N953">
        <f t="shared" si="28"/>
        <v>2</v>
      </c>
      <c r="O953">
        <f t="shared" si="29"/>
        <v>0</v>
      </c>
    </row>
    <row r="954" spans="1:15" x14ac:dyDescent="0.2">
      <c r="A954" s="1">
        <v>45750</v>
      </c>
      <c r="B954">
        <v>4</v>
      </c>
      <c r="C954" t="s">
        <v>16</v>
      </c>
      <c r="D954" s="2">
        <v>0.39930555555555558</v>
      </c>
      <c r="E954">
        <v>18838.63</v>
      </c>
      <c r="F954" s="2">
        <v>0.4</v>
      </c>
      <c r="G954">
        <v>18825.45</v>
      </c>
      <c r="H954">
        <v>18825.45</v>
      </c>
      <c r="I954">
        <v>18871.599999999999</v>
      </c>
      <c r="J954" t="s">
        <v>15</v>
      </c>
      <c r="K954">
        <v>-13.19</v>
      </c>
      <c r="L954" s="9">
        <v>-1</v>
      </c>
      <c r="M954">
        <v>0</v>
      </c>
      <c r="N954">
        <f t="shared" si="28"/>
        <v>3</v>
      </c>
      <c r="O954">
        <f t="shared" si="29"/>
        <v>0</v>
      </c>
    </row>
    <row r="955" spans="1:15" x14ac:dyDescent="0.2">
      <c r="A955" s="1">
        <v>45750</v>
      </c>
      <c r="B955">
        <v>4</v>
      </c>
      <c r="C955" t="s">
        <v>13</v>
      </c>
      <c r="D955" s="2">
        <v>0.4236111111111111</v>
      </c>
      <c r="E955">
        <v>18740.22</v>
      </c>
      <c r="F955" s="2">
        <v>0.42430555555555555</v>
      </c>
      <c r="G955">
        <v>18707.43</v>
      </c>
      <c r="H955">
        <v>18753.34</v>
      </c>
      <c r="I955">
        <v>18707.43</v>
      </c>
      <c r="J955" t="s">
        <v>14</v>
      </c>
      <c r="K955">
        <v>32.799999999999997</v>
      </c>
      <c r="L955" s="9">
        <v>2.5</v>
      </c>
      <c r="M955">
        <v>1</v>
      </c>
      <c r="N955">
        <f t="shared" si="28"/>
        <v>0</v>
      </c>
      <c r="O955">
        <f t="shared" si="29"/>
        <v>1</v>
      </c>
    </row>
    <row r="956" spans="1:15" x14ac:dyDescent="0.2">
      <c r="A956" s="1">
        <v>45750</v>
      </c>
      <c r="B956">
        <v>4</v>
      </c>
      <c r="C956" t="s">
        <v>13</v>
      </c>
      <c r="D956" s="2">
        <v>0.45347222222222222</v>
      </c>
      <c r="E956">
        <v>18605.3</v>
      </c>
      <c r="F956" s="2">
        <v>0.4548611111111111</v>
      </c>
      <c r="G956">
        <v>18618.330000000002</v>
      </c>
      <c r="H956">
        <v>18618.330000000002</v>
      </c>
      <c r="I956">
        <v>18572.740000000002</v>
      </c>
      <c r="J956" t="s">
        <v>15</v>
      </c>
      <c r="K956">
        <v>-13.02</v>
      </c>
      <c r="L956" s="9">
        <v>-1</v>
      </c>
      <c r="M956">
        <v>0</v>
      </c>
      <c r="N956">
        <f t="shared" si="28"/>
        <v>1</v>
      </c>
      <c r="O956">
        <f t="shared" si="29"/>
        <v>0</v>
      </c>
    </row>
    <row r="957" spans="1:15" x14ac:dyDescent="0.2">
      <c r="A957" s="1">
        <v>45751</v>
      </c>
      <c r="B957">
        <v>5</v>
      </c>
      <c r="C957" t="s">
        <v>13</v>
      </c>
      <c r="D957" s="2">
        <v>0.40208333333333335</v>
      </c>
      <c r="E957">
        <v>17953.810000000001</v>
      </c>
      <c r="F957" s="2">
        <v>0.40277777777777779</v>
      </c>
      <c r="G957">
        <v>17922.39</v>
      </c>
      <c r="H957">
        <v>17966.38</v>
      </c>
      <c r="I957">
        <v>17922.39</v>
      </c>
      <c r="J957" t="s">
        <v>14</v>
      </c>
      <c r="K957">
        <v>31.42</v>
      </c>
      <c r="L957" s="9">
        <v>2.5</v>
      </c>
      <c r="M957">
        <v>1</v>
      </c>
      <c r="N957">
        <f t="shared" si="28"/>
        <v>0</v>
      </c>
      <c r="O957">
        <f t="shared" si="29"/>
        <v>1</v>
      </c>
    </row>
    <row r="958" spans="1:15" x14ac:dyDescent="0.2">
      <c r="A958" s="1">
        <v>45751</v>
      </c>
      <c r="B958">
        <v>5</v>
      </c>
      <c r="C958" t="s">
        <v>13</v>
      </c>
      <c r="D958" s="2">
        <v>0.42708333333333331</v>
      </c>
      <c r="E958">
        <v>17851.740000000002</v>
      </c>
      <c r="F958" s="2">
        <v>0.42777777777777776</v>
      </c>
      <c r="G958">
        <v>17820.5</v>
      </c>
      <c r="H958">
        <v>17864.23</v>
      </c>
      <c r="I958">
        <v>17820.5</v>
      </c>
      <c r="J958" t="s">
        <v>14</v>
      </c>
      <c r="K958">
        <v>31.24</v>
      </c>
      <c r="L958" s="9">
        <v>2.5</v>
      </c>
      <c r="M958">
        <v>1</v>
      </c>
      <c r="N958">
        <f t="shared" si="28"/>
        <v>0</v>
      </c>
      <c r="O958">
        <f t="shared" si="29"/>
        <v>2</v>
      </c>
    </row>
    <row r="959" spans="1:15" x14ac:dyDescent="0.2">
      <c r="A959" s="1">
        <v>45754</v>
      </c>
      <c r="B959">
        <v>1</v>
      </c>
      <c r="C959" t="s">
        <v>13</v>
      </c>
      <c r="D959" s="2">
        <v>0.39652777777777776</v>
      </c>
      <c r="E959">
        <v>16799.080000000002</v>
      </c>
      <c r="F959" s="2">
        <v>0.3972222222222222</v>
      </c>
      <c r="G959">
        <v>16810.84</v>
      </c>
      <c r="H959">
        <v>16810.84</v>
      </c>
      <c r="I959">
        <v>16769.68</v>
      </c>
      <c r="J959" t="s">
        <v>17</v>
      </c>
      <c r="K959">
        <v>-11.76</v>
      </c>
      <c r="L959" s="9">
        <v>-1</v>
      </c>
      <c r="M959">
        <v>0</v>
      </c>
      <c r="N959">
        <f t="shared" si="28"/>
        <v>1</v>
      </c>
      <c r="O959">
        <f t="shared" si="29"/>
        <v>0</v>
      </c>
    </row>
    <row r="960" spans="1:15" x14ac:dyDescent="0.2">
      <c r="A960" s="1">
        <v>45754</v>
      </c>
      <c r="B960">
        <v>1</v>
      </c>
      <c r="C960" t="s">
        <v>16</v>
      </c>
      <c r="D960" s="2">
        <v>0.41736111111111113</v>
      </c>
      <c r="E960">
        <v>17109.830000000002</v>
      </c>
      <c r="F960" s="2">
        <v>0.41805555555555557</v>
      </c>
      <c r="G960">
        <v>17097.86</v>
      </c>
      <c r="H960">
        <v>17097.86</v>
      </c>
      <c r="I960">
        <v>17139.78</v>
      </c>
      <c r="J960" t="s">
        <v>15</v>
      </c>
      <c r="K960">
        <v>-11.98</v>
      </c>
      <c r="L960" s="9">
        <v>-1</v>
      </c>
      <c r="M960">
        <v>0</v>
      </c>
      <c r="N960">
        <f t="shared" si="28"/>
        <v>2</v>
      </c>
      <c r="O960">
        <f t="shared" si="29"/>
        <v>0</v>
      </c>
    </row>
    <row r="961" spans="1:15" x14ac:dyDescent="0.2">
      <c r="A961" s="1">
        <v>45754</v>
      </c>
      <c r="B961">
        <v>1</v>
      </c>
      <c r="C961" t="s">
        <v>13</v>
      </c>
      <c r="D961" s="2">
        <v>0.44444444444444442</v>
      </c>
      <c r="E961">
        <v>17113.11</v>
      </c>
      <c r="F961" s="2">
        <v>0.44513888888888886</v>
      </c>
      <c r="G961">
        <v>17083.16</v>
      </c>
      <c r="H961">
        <v>17125.09</v>
      </c>
      <c r="I961">
        <v>17083.16</v>
      </c>
      <c r="J961" t="s">
        <v>14</v>
      </c>
      <c r="K961">
        <v>29.95</v>
      </c>
      <c r="L961" s="9">
        <v>2.5</v>
      </c>
      <c r="M961">
        <v>1</v>
      </c>
      <c r="N961">
        <f t="shared" si="28"/>
        <v>0</v>
      </c>
      <c r="O961">
        <f t="shared" si="29"/>
        <v>1</v>
      </c>
    </row>
    <row r="962" spans="1:15" x14ac:dyDescent="0.2">
      <c r="A962" s="1">
        <v>45755</v>
      </c>
      <c r="B962">
        <v>2</v>
      </c>
      <c r="C962" t="s">
        <v>16</v>
      </c>
      <c r="D962" s="2">
        <v>0.39583333333333331</v>
      </c>
      <c r="E962">
        <v>18011.150000000001</v>
      </c>
      <c r="F962" s="2">
        <v>0.39652777777777776</v>
      </c>
      <c r="G962">
        <v>17998.54</v>
      </c>
      <c r="H962">
        <v>17998.54</v>
      </c>
      <c r="I962">
        <v>18042.66</v>
      </c>
      <c r="J962" t="s">
        <v>15</v>
      </c>
      <c r="K962">
        <v>-12.61</v>
      </c>
      <c r="L962" s="9">
        <v>-1</v>
      </c>
      <c r="M962">
        <v>0</v>
      </c>
      <c r="N962">
        <f t="shared" ref="N962:N1025" si="30">IF(M962=0, IF(M961=0, N961+1, 1), 0)</f>
        <v>1</v>
      </c>
      <c r="O962">
        <f t="shared" ref="O962:O1025" si="31">IF(M962=1, IF(M961=1, O961+1, 1), 0)</f>
        <v>0</v>
      </c>
    </row>
    <row r="963" spans="1:15" x14ac:dyDescent="0.2">
      <c r="A963" s="1">
        <v>45755</v>
      </c>
      <c r="B963">
        <v>2</v>
      </c>
      <c r="C963" t="s">
        <v>16</v>
      </c>
      <c r="D963" s="2">
        <v>0.41388888888888886</v>
      </c>
      <c r="E963">
        <v>18057.87</v>
      </c>
      <c r="F963" s="2">
        <v>0.41458333333333336</v>
      </c>
      <c r="G963">
        <v>18089.47</v>
      </c>
      <c r="H963">
        <v>18045.23</v>
      </c>
      <c r="I963">
        <v>18089.47</v>
      </c>
      <c r="J963" t="s">
        <v>14</v>
      </c>
      <c r="K963">
        <v>31.6</v>
      </c>
      <c r="L963" s="9">
        <v>2.5</v>
      </c>
      <c r="M963">
        <v>1</v>
      </c>
      <c r="N963">
        <f t="shared" si="30"/>
        <v>0</v>
      </c>
      <c r="O963">
        <f t="shared" si="31"/>
        <v>1</v>
      </c>
    </row>
    <row r="964" spans="1:15" x14ac:dyDescent="0.2">
      <c r="A964" s="1">
        <v>45755</v>
      </c>
      <c r="B964">
        <v>2</v>
      </c>
      <c r="C964" t="s">
        <v>13</v>
      </c>
      <c r="D964" s="2">
        <v>0.45069444444444445</v>
      </c>
      <c r="E964">
        <v>18096.73</v>
      </c>
      <c r="F964" s="2">
        <v>0.4513888888888889</v>
      </c>
      <c r="G964">
        <v>18065.060000000001</v>
      </c>
      <c r="H964">
        <v>18109.400000000001</v>
      </c>
      <c r="I964">
        <v>18065.060000000001</v>
      </c>
      <c r="J964" t="s">
        <v>14</v>
      </c>
      <c r="K964">
        <v>31.67</v>
      </c>
      <c r="L964" s="9">
        <v>2.5</v>
      </c>
      <c r="M964">
        <v>1</v>
      </c>
      <c r="N964">
        <f t="shared" si="30"/>
        <v>0</v>
      </c>
      <c r="O964">
        <f t="shared" si="31"/>
        <v>2</v>
      </c>
    </row>
    <row r="965" spans="1:15" x14ac:dyDescent="0.2">
      <c r="A965" s="1">
        <v>45756</v>
      </c>
      <c r="B965">
        <v>3</v>
      </c>
      <c r="C965" t="s">
        <v>16</v>
      </c>
      <c r="D965" s="2">
        <v>0.40486111111111112</v>
      </c>
      <c r="E965">
        <v>17310.45</v>
      </c>
      <c r="F965" s="2">
        <v>0.40555555555555556</v>
      </c>
      <c r="G965">
        <v>17298.34</v>
      </c>
      <c r="H965">
        <v>17298.34</v>
      </c>
      <c r="I965">
        <v>17340.75</v>
      </c>
      <c r="J965" t="s">
        <v>15</v>
      </c>
      <c r="K965">
        <v>-12.12</v>
      </c>
      <c r="L965" s="9">
        <v>-1</v>
      </c>
      <c r="M965">
        <v>0</v>
      </c>
      <c r="N965">
        <f t="shared" si="30"/>
        <v>1</v>
      </c>
      <c r="O965">
        <f t="shared" si="31"/>
        <v>0</v>
      </c>
    </row>
    <row r="966" spans="1:15" x14ac:dyDescent="0.2">
      <c r="A966" s="1">
        <v>45756</v>
      </c>
      <c r="B966">
        <v>3</v>
      </c>
      <c r="C966" t="s">
        <v>13</v>
      </c>
      <c r="D966" s="2">
        <v>0.4548611111111111</v>
      </c>
      <c r="E966">
        <v>17165.22</v>
      </c>
      <c r="F966" s="2">
        <v>0.45555555555555555</v>
      </c>
      <c r="G966">
        <v>17135.18</v>
      </c>
      <c r="H966">
        <v>17177.23</v>
      </c>
      <c r="I966">
        <v>17135.18</v>
      </c>
      <c r="J966" t="s">
        <v>14</v>
      </c>
      <c r="K966">
        <v>30.04</v>
      </c>
      <c r="L966" s="9">
        <v>2.5</v>
      </c>
      <c r="M966">
        <v>1</v>
      </c>
      <c r="N966">
        <f t="shared" si="30"/>
        <v>0</v>
      </c>
      <c r="O966">
        <f t="shared" si="31"/>
        <v>1</v>
      </c>
    </row>
    <row r="967" spans="1:15" x14ac:dyDescent="0.2">
      <c r="A967" s="1">
        <v>45757</v>
      </c>
      <c r="B967">
        <v>4</v>
      </c>
      <c r="C967" t="s">
        <v>13</v>
      </c>
      <c r="D967" s="2">
        <v>0.40625</v>
      </c>
      <c r="E967">
        <v>18590.47</v>
      </c>
      <c r="F967" s="2">
        <v>0.40694444444444444</v>
      </c>
      <c r="G967">
        <v>18603.48</v>
      </c>
      <c r="H967">
        <v>18603.48</v>
      </c>
      <c r="I967">
        <v>18557.939999999999</v>
      </c>
      <c r="J967" t="s">
        <v>15</v>
      </c>
      <c r="K967">
        <v>-13.01</v>
      </c>
      <c r="L967" s="9">
        <v>-1</v>
      </c>
      <c r="M967">
        <v>0</v>
      </c>
      <c r="N967">
        <f t="shared" si="30"/>
        <v>1</v>
      </c>
      <c r="O967">
        <f t="shared" si="31"/>
        <v>0</v>
      </c>
    </row>
    <row r="968" spans="1:15" x14ac:dyDescent="0.2">
      <c r="A968" s="1">
        <v>45757</v>
      </c>
      <c r="B968">
        <v>4</v>
      </c>
      <c r="C968" t="s">
        <v>13</v>
      </c>
      <c r="D968" s="2">
        <v>0.41666666666666669</v>
      </c>
      <c r="E968">
        <v>18544.259999999998</v>
      </c>
      <c r="F968" s="2">
        <v>0.41736111111111113</v>
      </c>
      <c r="G968">
        <v>18511.810000000001</v>
      </c>
      <c r="H968">
        <v>18557.240000000002</v>
      </c>
      <c r="I968">
        <v>18511.810000000001</v>
      </c>
      <c r="J968" t="s">
        <v>14</v>
      </c>
      <c r="K968">
        <v>32.450000000000003</v>
      </c>
      <c r="L968" s="9">
        <v>2.5</v>
      </c>
      <c r="M968">
        <v>1</v>
      </c>
      <c r="N968">
        <f t="shared" si="30"/>
        <v>0</v>
      </c>
      <c r="O968">
        <f t="shared" si="31"/>
        <v>1</v>
      </c>
    </row>
    <row r="969" spans="1:15" x14ac:dyDescent="0.2">
      <c r="A969" s="1">
        <v>45757</v>
      </c>
      <c r="B969">
        <v>4</v>
      </c>
      <c r="C969" t="s">
        <v>16</v>
      </c>
      <c r="D969" s="2">
        <v>0.44097222222222221</v>
      </c>
      <c r="E969">
        <v>18583.560000000001</v>
      </c>
      <c r="F969" s="2">
        <v>0.44166666666666665</v>
      </c>
      <c r="G969">
        <v>18616.080000000002</v>
      </c>
      <c r="H969">
        <v>18570.55</v>
      </c>
      <c r="I969">
        <v>18616.080000000002</v>
      </c>
      <c r="J969" t="s">
        <v>14</v>
      </c>
      <c r="K969">
        <v>32.520000000000003</v>
      </c>
      <c r="L969" s="9">
        <v>2.5</v>
      </c>
      <c r="M969">
        <v>1</v>
      </c>
      <c r="N969">
        <f t="shared" si="30"/>
        <v>0</v>
      </c>
      <c r="O969">
        <f t="shared" si="31"/>
        <v>2</v>
      </c>
    </row>
    <row r="970" spans="1:15" x14ac:dyDescent="0.2">
      <c r="A970" s="1">
        <v>45758</v>
      </c>
      <c r="B970">
        <v>5</v>
      </c>
      <c r="C970" t="s">
        <v>16</v>
      </c>
      <c r="D970" s="2">
        <v>0.40902777777777777</v>
      </c>
      <c r="E970">
        <v>18436.14</v>
      </c>
      <c r="F970" s="2">
        <v>0.40972222222222221</v>
      </c>
      <c r="G970">
        <v>18423.240000000002</v>
      </c>
      <c r="H970">
        <v>18423.240000000002</v>
      </c>
      <c r="I970">
        <v>18468.41</v>
      </c>
      <c r="J970" t="s">
        <v>15</v>
      </c>
      <c r="K970">
        <v>-12.91</v>
      </c>
      <c r="L970" s="9">
        <v>-1</v>
      </c>
      <c r="M970">
        <v>0</v>
      </c>
      <c r="N970">
        <f t="shared" si="30"/>
        <v>1</v>
      </c>
      <c r="O970">
        <f t="shared" si="31"/>
        <v>0</v>
      </c>
    </row>
    <row r="971" spans="1:15" x14ac:dyDescent="0.2">
      <c r="A971" s="1">
        <v>45758</v>
      </c>
      <c r="B971">
        <v>5</v>
      </c>
      <c r="C971" t="s">
        <v>13</v>
      </c>
      <c r="D971" s="2">
        <v>0.43333333333333335</v>
      </c>
      <c r="E971">
        <v>18219.900000000001</v>
      </c>
      <c r="F971" s="2">
        <v>0.43402777777777779</v>
      </c>
      <c r="G971">
        <v>18232.66</v>
      </c>
      <c r="H971">
        <v>18232.66</v>
      </c>
      <c r="I971">
        <v>18188.02</v>
      </c>
      <c r="J971" t="s">
        <v>15</v>
      </c>
      <c r="K971">
        <v>-12.75</v>
      </c>
      <c r="L971" s="9">
        <v>-1</v>
      </c>
      <c r="M971">
        <v>0</v>
      </c>
      <c r="N971">
        <f t="shared" si="30"/>
        <v>2</v>
      </c>
      <c r="O971">
        <f t="shared" si="31"/>
        <v>0</v>
      </c>
    </row>
    <row r="972" spans="1:15" x14ac:dyDescent="0.2">
      <c r="A972" s="1">
        <v>45758</v>
      </c>
      <c r="B972">
        <v>5</v>
      </c>
      <c r="C972" t="s">
        <v>16</v>
      </c>
      <c r="D972" s="2">
        <v>0.45069444444444445</v>
      </c>
      <c r="E972">
        <v>18371.54</v>
      </c>
      <c r="F972" s="2">
        <v>0.4513888888888889</v>
      </c>
      <c r="G972">
        <v>18358.68</v>
      </c>
      <c r="H972">
        <v>18358.68</v>
      </c>
      <c r="I972">
        <v>18403.689999999999</v>
      </c>
      <c r="J972" t="s">
        <v>15</v>
      </c>
      <c r="K972">
        <v>-12.86</v>
      </c>
      <c r="L972" s="9">
        <v>-1</v>
      </c>
      <c r="M972">
        <v>0</v>
      </c>
      <c r="N972">
        <f t="shared" si="30"/>
        <v>3</v>
      </c>
      <c r="O972">
        <f t="shared" si="31"/>
        <v>0</v>
      </c>
    </row>
    <row r="973" spans="1:15" x14ac:dyDescent="0.2">
      <c r="A973" s="1">
        <v>45761</v>
      </c>
      <c r="B973">
        <v>1</v>
      </c>
      <c r="C973" t="s">
        <v>13</v>
      </c>
      <c r="D973" s="2">
        <v>0.40555555555555556</v>
      </c>
      <c r="E973">
        <v>18910.03</v>
      </c>
      <c r="F973" s="2">
        <v>0.40625</v>
      </c>
      <c r="G973">
        <v>18923.27</v>
      </c>
      <c r="H973">
        <v>18923.27</v>
      </c>
      <c r="I973">
        <v>18876.939999999999</v>
      </c>
      <c r="J973" t="s">
        <v>15</v>
      </c>
      <c r="K973">
        <v>-13.24</v>
      </c>
      <c r="L973" s="9">
        <v>-1</v>
      </c>
      <c r="M973">
        <v>0</v>
      </c>
      <c r="N973">
        <f t="shared" si="30"/>
        <v>4</v>
      </c>
      <c r="O973">
        <f t="shared" si="31"/>
        <v>0</v>
      </c>
    </row>
    <row r="974" spans="1:15" x14ac:dyDescent="0.2">
      <c r="A974" s="1">
        <v>45761</v>
      </c>
      <c r="B974">
        <v>1</v>
      </c>
      <c r="C974" t="s">
        <v>16</v>
      </c>
      <c r="D974" s="2">
        <v>0.44444444444444442</v>
      </c>
      <c r="E974">
        <v>19009.84</v>
      </c>
      <c r="F974" s="2">
        <v>0.44861111111111113</v>
      </c>
      <c r="G974">
        <v>18996.53</v>
      </c>
      <c r="H974">
        <v>18996.53</v>
      </c>
      <c r="I974">
        <v>19043.11</v>
      </c>
      <c r="J974" t="s">
        <v>15</v>
      </c>
      <c r="K974">
        <v>-13.31</v>
      </c>
      <c r="L974" s="9">
        <v>-1</v>
      </c>
      <c r="M974">
        <v>0</v>
      </c>
      <c r="N974">
        <f t="shared" si="30"/>
        <v>5</v>
      </c>
      <c r="O974">
        <f t="shared" si="31"/>
        <v>0</v>
      </c>
    </row>
    <row r="975" spans="1:15" x14ac:dyDescent="0.2">
      <c r="A975" s="1">
        <v>45762</v>
      </c>
      <c r="B975">
        <v>2</v>
      </c>
      <c r="C975" t="s">
        <v>16</v>
      </c>
      <c r="D975" s="2">
        <v>0.39583333333333331</v>
      </c>
      <c r="E975">
        <v>18835.72</v>
      </c>
      <c r="F975" s="2">
        <v>0.3972222222222222</v>
      </c>
      <c r="G975">
        <v>18868.68</v>
      </c>
      <c r="H975">
        <v>18822.53</v>
      </c>
      <c r="I975">
        <v>18868.68</v>
      </c>
      <c r="J975" t="s">
        <v>14</v>
      </c>
      <c r="K975">
        <v>32.96</v>
      </c>
      <c r="L975" s="9">
        <v>2.5</v>
      </c>
      <c r="M975">
        <v>1</v>
      </c>
      <c r="N975">
        <f t="shared" si="30"/>
        <v>0</v>
      </c>
      <c r="O975">
        <f t="shared" si="31"/>
        <v>1</v>
      </c>
    </row>
    <row r="976" spans="1:15" x14ac:dyDescent="0.2">
      <c r="A976" s="1">
        <v>45762</v>
      </c>
      <c r="B976">
        <v>2</v>
      </c>
      <c r="C976" t="s">
        <v>13</v>
      </c>
      <c r="D976" s="2">
        <v>0.43611111111111112</v>
      </c>
      <c r="E976">
        <v>18830.96</v>
      </c>
      <c r="F976" s="2">
        <v>0.43680555555555556</v>
      </c>
      <c r="G976">
        <v>18844.14</v>
      </c>
      <c r="H976">
        <v>18844.14</v>
      </c>
      <c r="I976">
        <v>18798.009999999998</v>
      </c>
      <c r="J976" t="s">
        <v>15</v>
      </c>
      <c r="K976">
        <v>-13.18</v>
      </c>
      <c r="L976" s="9">
        <v>-1</v>
      </c>
      <c r="M976">
        <v>0</v>
      </c>
      <c r="N976">
        <f t="shared" si="30"/>
        <v>1</v>
      </c>
      <c r="O976">
        <f t="shared" si="31"/>
        <v>0</v>
      </c>
    </row>
    <row r="977" spans="1:15" x14ac:dyDescent="0.2">
      <c r="A977" s="1">
        <v>45763</v>
      </c>
      <c r="B977">
        <v>3</v>
      </c>
      <c r="C977" t="s">
        <v>13</v>
      </c>
      <c r="D977" s="2">
        <v>0.41388888888888886</v>
      </c>
      <c r="E977">
        <v>18424.14</v>
      </c>
      <c r="F977" s="2">
        <v>0.41458333333333336</v>
      </c>
      <c r="G977">
        <v>18437.03</v>
      </c>
      <c r="H977">
        <v>18437.03</v>
      </c>
      <c r="I977">
        <v>18391.89</v>
      </c>
      <c r="J977" t="s">
        <v>15</v>
      </c>
      <c r="K977">
        <v>-12.9</v>
      </c>
      <c r="L977" s="9">
        <v>-1</v>
      </c>
      <c r="M977">
        <v>0</v>
      </c>
      <c r="N977">
        <f t="shared" si="30"/>
        <v>2</v>
      </c>
      <c r="O977">
        <f t="shared" si="31"/>
        <v>0</v>
      </c>
    </row>
    <row r="978" spans="1:15" x14ac:dyDescent="0.2">
      <c r="A978" s="1">
        <v>45763</v>
      </c>
      <c r="B978">
        <v>3</v>
      </c>
      <c r="C978" t="s">
        <v>16</v>
      </c>
      <c r="D978" s="2">
        <v>0.4375</v>
      </c>
      <c r="E978">
        <v>18482.96</v>
      </c>
      <c r="F978" s="2">
        <v>0.43819444444444444</v>
      </c>
      <c r="G978">
        <v>18470.03</v>
      </c>
      <c r="H978">
        <v>18470.03</v>
      </c>
      <c r="I978">
        <v>18515.310000000001</v>
      </c>
      <c r="J978" t="s">
        <v>15</v>
      </c>
      <c r="K978">
        <v>-12.94</v>
      </c>
      <c r="L978" s="9">
        <v>-1</v>
      </c>
      <c r="M978">
        <v>0</v>
      </c>
      <c r="N978">
        <f t="shared" si="30"/>
        <v>3</v>
      </c>
      <c r="O978">
        <f t="shared" si="31"/>
        <v>0</v>
      </c>
    </row>
    <row r="979" spans="1:15" x14ac:dyDescent="0.2">
      <c r="A979" s="1">
        <v>45764</v>
      </c>
      <c r="B979">
        <v>4</v>
      </c>
      <c r="C979" t="s">
        <v>13</v>
      </c>
      <c r="D979" s="2">
        <v>0.4</v>
      </c>
      <c r="E979">
        <v>18311.11</v>
      </c>
      <c r="F979" s="2">
        <v>0.40069444444444446</v>
      </c>
      <c r="G979">
        <v>18279.07</v>
      </c>
      <c r="H979">
        <v>18323.93</v>
      </c>
      <c r="I979">
        <v>18279.07</v>
      </c>
      <c r="J979" t="s">
        <v>14</v>
      </c>
      <c r="K979">
        <v>32.04</v>
      </c>
      <c r="L979" s="9">
        <v>2.5</v>
      </c>
      <c r="M979">
        <v>1</v>
      </c>
      <c r="N979">
        <f t="shared" si="30"/>
        <v>0</v>
      </c>
      <c r="O979">
        <f t="shared" si="31"/>
        <v>1</v>
      </c>
    </row>
    <row r="980" spans="1:15" x14ac:dyDescent="0.2">
      <c r="A980" s="1">
        <v>45764</v>
      </c>
      <c r="B980">
        <v>4</v>
      </c>
      <c r="C980" t="s">
        <v>13</v>
      </c>
      <c r="D980" s="2">
        <v>0.43194444444444446</v>
      </c>
      <c r="E980">
        <v>18261.330000000002</v>
      </c>
      <c r="F980" s="2">
        <v>0.43402777777777779</v>
      </c>
      <c r="G980">
        <v>18229.37</v>
      </c>
      <c r="H980">
        <v>18274.11</v>
      </c>
      <c r="I980">
        <v>18229.37</v>
      </c>
      <c r="J980" t="s">
        <v>14</v>
      </c>
      <c r="K980">
        <v>31.96</v>
      </c>
      <c r="L980" s="9">
        <v>2.5</v>
      </c>
      <c r="M980">
        <v>1</v>
      </c>
      <c r="N980">
        <f t="shared" si="30"/>
        <v>0</v>
      </c>
      <c r="O980">
        <f t="shared" si="31"/>
        <v>2</v>
      </c>
    </row>
    <row r="981" spans="1:15" x14ac:dyDescent="0.2">
      <c r="A981" s="1">
        <v>45768</v>
      </c>
      <c r="B981">
        <v>1</v>
      </c>
      <c r="C981" t="s">
        <v>13</v>
      </c>
      <c r="D981" s="2">
        <v>0.42152777777777778</v>
      </c>
      <c r="E981">
        <v>17843.689999999999</v>
      </c>
      <c r="F981" s="2">
        <v>0.42777777777777776</v>
      </c>
      <c r="G981">
        <v>17812.46</v>
      </c>
      <c r="H981">
        <v>17856.18</v>
      </c>
      <c r="I981">
        <v>17812.46</v>
      </c>
      <c r="J981" t="s">
        <v>14</v>
      </c>
      <c r="K981">
        <v>31.23</v>
      </c>
      <c r="L981" s="9">
        <v>2.5</v>
      </c>
      <c r="M981">
        <v>1</v>
      </c>
      <c r="N981">
        <f t="shared" si="30"/>
        <v>0</v>
      </c>
      <c r="O981">
        <f t="shared" si="31"/>
        <v>3</v>
      </c>
    </row>
    <row r="982" spans="1:15" x14ac:dyDescent="0.2">
      <c r="A982" s="1">
        <v>45769</v>
      </c>
      <c r="B982">
        <v>2</v>
      </c>
      <c r="C982" t="s">
        <v>16</v>
      </c>
      <c r="D982" s="2">
        <v>0.39583333333333331</v>
      </c>
      <c r="E982">
        <v>18028.68</v>
      </c>
      <c r="F982" s="2">
        <v>0.39652777777777776</v>
      </c>
      <c r="G982">
        <v>18016.060000000001</v>
      </c>
      <c r="H982">
        <v>18016.060000000001</v>
      </c>
      <c r="I982">
        <v>18060.23</v>
      </c>
      <c r="J982" t="s">
        <v>15</v>
      </c>
      <c r="K982">
        <v>-12.62</v>
      </c>
      <c r="L982" s="9">
        <v>-1</v>
      </c>
      <c r="M982">
        <v>0</v>
      </c>
      <c r="N982">
        <f t="shared" si="30"/>
        <v>1</v>
      </c>
      <c r="O982">
        <f t="shared" si="31"/>
        <v>0</v>
      </c>
    </row>
    <row r="983" spans="1:15" x14ac:dyDescent="0.2">
      <c r="A983" s="1">
        <v>45769</v>
      </c>
      <c r="B983">
        <v>2</v>
      </c>
      <c r="C983" t="s">
        <v>16</v>
      </c>
      <c r="D983" s="2">
        <v>0.40902777777777777</v>
      </c>
      <c r="E983">
        <v>18115.28</v>
      </c>
      <c r="F983" s="2">
        <v>0.41111111111111109</v>
      </c>
      <c r="G983">
        <v>18102.599999999999</v>
      </c>
      <c r="H983">
        <v>18102.599999999999</v>
      </c>
      <c r="I983">
        <v>18146.990000000002</v>
      </c>
      <c r="J983" t="s">
        <v>15</v>
      </c>
      <c r="K983">
        <v>-12.68</v>
      </c>
      <c r="L983" s="9">
        <v>-1</v>
      </c>
      <c r="M983">
        <v>0</v>
      </c>
      <c r="N983">
        <f t="shared" si="30"/>
        <v>2</v>
      </c>
      <c r="O983">
        <f t="shared" si="31"/>
        <v>0</v>
      </c>
    </row>
    <row r="984" spans="1:15" x14ac:dyDescent="0.2">
      <c r="A984" s="1">
        <v>45769</v>
      </c>
      <c r="B984">
        <v>2</v>
      </c>
      <c r="C984" t="s">
        <v>16</v>
      </c>
      <c r="D984" s="2">
        <v>0.44583333333333336</v>
      </c>
      <c r="E984">
        <v>18189.16</v>
      </c>
      <c r="F984" s="2">
        <v>0.45</v>
      </c>
      <c r="G984">
        <v>18220.990000000002</v>
      </c>
      <c r="H984">
        <v>18176.43</v>
      </c>
      <c r="I984">
        <v>18220.990000000002</v>
      </c>
      <c r="J984" t="s">
        <v>14</v>
      </c>
      <c r="K984">
        <v>31.83</v>
      </c>
      <c r="L984" s="9">
        <v>2.5</v>
      </c>
      <c r="M984">
        <v>1</v>
      </c>
      <c r="N984">
        <f t="shared" si="30"/>
        <v>0</v>
      </c>
      <c r="O984">
        <f t="shared" si="31"/>
        <v>1</v>
      </c>
    </row>
    <row r="985" spans="1:15" x14ac:dyDescent="0.2">
      <c r="A985" s="1">
        <v>45771</v>
      </c>
      <c r="B985">
        <v>4</v>
      </c>
      <c r="C985" t="s">
        <v>16</v>
      </c>
      <c r="D985" s="2">
        <v>0.40833333333333333</v>
      </c>
      <c r="E985">
        <v>18851.34</v>
      </c>
      <c r="F985" s="2">
        <v>0.41111111111111109</v>
      </c>
      <c r="G985">
        <v>18884.330000000002</v>
      </c>
      <c r="H985">
        <v>18838.14</v>
      </c>
      <c r="I985">
        <v>18884.330000000002</v>
      </c>
      <c r="J985" t="s">
        <v>14</v>
      </c>
      <c r="K985">
        <v>32.99</v>
      </c>
      <c r="L985" s="9">
        <v>2.5</v>
      </c>
      <c r="M985">
        <v>1</v>
      </c>
      <c r="N985">
        <f t="shared" si="30"/>
        <v>0</v>
      </c>
      <c r="O985">
        <f t="shared" si="31"/>
        <v>2</v>
      </c>
    </row>
    <row r="986" spans="1:15" x14ac:dyDescent="0.2">
      <c r="A986" s="1">
        <v>45772</v>
      </c>
      <c r="B986">
        <v>5</v>
      </c>
      <c r="C986" t="s">
        <v>16</v>
      </c>
      <c r="D986" s="2">
        <v>0.39583333333333331</v>
      </c>
      <c r="E986">
        <v>19192.669999999998</v>
      </c>
      <c r="F986" s="2">
        <v>0.39652777777777776</v>
      </c>
      <c r="G986">
        <v>19179.23</v>
      </c>
      <c r="H986">
        <v>19179.23</v>
      </c>
      <c r="I986">
        <v>19226.259999999998</v>
      </c>
      <c r="J986" t="s">
        <v>15</v>
      </c>
      <c r="K986">
        <v>-13.43</v>
      </c>
      <c r="L986" s="9">
        <v>-1</v>
      </c>
      <c r="M986">
        <v>0</v>
      </c>
      <c r="N986">
        <f t="shared" si="30"/>
        <v>1</v>
      </c>
      <c r="O986">
        <f t="shared" si="31"/>
        <v>0</v>
      </c>
    </row>
    <row r="987" spans="1:15" x14ac:dyDescent="0.2">
      <c r="A987" s="1">
        <v>45772</v>
      </c>
      <c r="B987">
        <v>5</v>
      </c>
      <c r="C987" t="s">
        <v>16</v>
      </c>
      <c r="D987" s="2">
        <v>0.42569444444444443</v>
      </c>
      <c r="E987">
        <v>19273.89</v>
      </c>
      <c r="F987" s="2">
        <v>0.42777777777777776</v>
      </c>
      <c r="G987">
        <v>19260.400000000001</v>
      </c>
      <c r="H987">
        <v>19260.400000000001</v>
      </c>
      <c r="I987">
        <v>19307.62</v>
      </c>
      <c r="J987" t="s">
        <v>15</v>
      </c>
      <c r="K987">
        <v>-13.49</v>
      </c>
      <c r="L987" s="9">
        <v>-1</v>
      </c>
      <c r="M987">
        <v>0</v>
      </c>
      <c r="N987">
        <f t="shared" si="30"/>
        <v>2</v>
      </c>
      <c r="O987">
        <f t="shared" si="31"/>
        <v>0</v>
      </c>
    </row>
    <row r="988" spans="1:15" x14ac:dyDescent="0.2">
      <c r="A988" s="1">
        <v>45772</v>
      </c>
      <c r="B988">
        <v>5</v>
      </c>
      <c r="C988" t="s">
        <v>13</v>
      </c>
      <c r="D988" s="2">
        <v>0.43888888888888888</v>
      </c>
      <c r="E988">
        <v>19158.849999999999</v>
      </c>
      <c r="F988" s="2">
        <v>0.43958333333333333</v>
      </c>
      <c r="G988">
        <v>19172.259999999998</v>
      </c>
      <c r="H988">
        <v>19172.259999999998</v>
      </c>
      <c r="I988">
        <v>19125.32</v>
      </c>
      <c r="J988" t="s">
        <v>15</v>
      </c>
      <c r="K988">
        <v>-13.41</v>
      </c>
      <c r="L988" s="9">
        <v>-1</v>
      </c>
      <c r="M988">
        <v>0</v>
      </c>
      <c r="N988">
        <f t="shared" si="30"/>
        <v>3</v>
      </c>
      <c r="O988">
        <f t="shared" si="31"/>
        <v>0</v>
      </c>
    </row>
    <row r="989" spans="1:15" x14ac:dyDescent="0.2">
      <c r="A989" s="1">
        <v>45775</v>
      </c>
      <c r="B989">
        <v>1</v>
      </c>
      <c r="C989" t="s">
        <v>16</v>
      </c>
      <c r="D989" s="2">
        <v>0.45</v>
      </c>
      <c r="E989">
        <v>19422.900000000001</v>
      </c>
      <c r="F989" s="2">
        <v>0.4513888888888889</v>
      </c>
      <c r="G989">
        <v>19409.3</v>
      </c>
      <c r="H989">
        <v>19409.3</v>
      </c>
      <c r="I989">
        <v>19456.89</v>
      </c>
      <c r="J989" t="s">
        <v>15</v>
      </c>
      <c r="K989">
        <v>-13.6</v>
      </c>
      <c r="L989" s="9">
        <v>-1</v>
      </c>
      <c r="M989">
        <v>0</v>
      </c>
      <c r="N989">
        <f t="shared" si="30"/>
        <v>4</v>
      </c>
      <c r="O989">
        <f t="shared" si="31"/>
        <v>0</v>
      </c>
    </row>
    <row r="990" spans="1:15" x14ac:dyDescent="0.2">
      <c r="A990" s="1">
        <v>45776</v>
      </c>
      <c r="B990">
        <v>2</v>
      </c>
      <c r="C990" t="s">
        <v>16</v>
      </c>
      <c r="D990" s="2">
        <v>0.41111111111111109</v>
      </c>
      <c r="E990">
        <v>19407.89</v>
      </c>
      <c r="F990" s="2">
        <v>0.41319444444444442</v>
      </c>
      <c r="G990">
        <v>19394.3</v>
      </c>
      <c r="H990">
        <v>19394.3</v>
      </c>
      <c r="I990">
        <v>19441.849999999999</v>
      </c>
      <c r="J990" t="s">
        <v>15</v>
      </c>
      <c r="K990">
        <v>-13.59</v>
      </c>
      <c r="L990" s="9">
        <v>-1</v>
      </c>
      <c r="M990">
        <v>0</v>
      </c>
      <c r="N990">
        <f t="shared" si="30"/>
        <v>5</v>
      </c>
      <c r="O990">
        <f t="shared" si="31"/>
        <v>0</v>
      </c>
    </row>
    <row r="991" spans="1:15" x14ac:dyDescent="0.2">
      <c r="A991" s="1">
        <v>45776</v>
      </c>
      <c r="B991">
        <v>2</v>
      </c>
      <c r="C991" t="s">
        <v>16</v>
      </c>
      <c r="D991" s="2">
        <v>0.45694444444444443</v>
      </c>
      <c r="E991">
        <v>19485.62</v>
      </c>
      <c r="F991" s="2">
        <v>0.46111111111111114</v>
      </c>
      <c r="G991">
        <v>19471.98</v>
      </c>
      <c r="H991">
        <v>19471.98</v>
      </c>
      <c r="I991">
        <v>19519.72</v>
      </c>
      <c r="J991" t="s">
        <v>15</v>
      </c>
      <c r="K991">
        <v>-13.64</v>
      </c>
      <c r="L991" s="9">
        <v>-1</v>
      </c>
      <c r="M991">
        <v>0</v>
      </c>
      <c r="N991">
        <f t="shared" si="30"/>
        <v>6</v>
      </c>
      <c r="O991">
        <f t="shared" si="31"/>
        <v>0</v>
      </c>
    </row>
    <row r="992" spans="1:15" x14ac:dyDescent="0.2">
      <c r="A992" s="1">
        <v>45777</v>
      </c>
      <c r="B992">
        <v>3</v>
      </c>
      <c r="C992" t="s">
        <v>13</v>
      </c>
      <c r="D992" s="2">
        <v>0.40555555555555556</v>
      </c>
      <c r="E992">
        <v>19068.080000000002</v>
      </c>
      <c r="F992" s="2">
        <v>0.40763888888888888</v>
      </c>
      <c r="G992">
        <v>19081.43</v>
      </c>
      <c r="H992">
        <v>19081.43</v>
      </c>
      <c r="I992">
        <v>19034.71</v>
      </c>
      <c r="J992" t="s">
        <v>15</v>
      </c>
      <c r="K992">
        <v>-13.35</v>
      </c>
      <c r="L992" s="9">
        <v>-1</v>
      </c>
      <c r="M992">
        <v>0</v>
      </c>
      <c r="N992">
        <f t="shared" si="30"/>
        <v>7</v>
      </c>
      <c r="O992">
        <f t="shared" si="31"/>
        <v>0</v>
      </c>
    </row>
    <row r="993" spans="1:15" x14ac:dyDescent="0.2">
      <c r="A993" s="1">
        <v>45777</v>
      </c>
      <c r="B993">
        <v>3</v>
      </c>
      <c r="C993" t="s">
        <v>16</v>
      </c>
      <c r="D993" s="2">
        <v>0.43611111111111112</v>
      </c>
      <c r="E993">
        <v>19182.12</v>
      </c>
      <c r="F993" s="2">
        <v>0.4375</v>
      </c>
      <c r="G993">
        <v>19215.68</v>
      </c>
      <c r="H993">
        <v>19168.689999999999</v>
      </c>
      <c r="I993">
        <v>19215.68</v>
      </c>
      <c r="J993" t="s">
        <v>14</v>
      </c>
      <c r="K993">
        <v>33.57</v>
      </c>
      <c r="L993" s="9">
        <v>2.5</v>
      </c>
      <c r="M993">
        <v>1</v>
      </c>
      <c r="N993">
        <f t="shared" si="30"/>
        <v>0</v>
      </c>
      <c r="O993">
        <f t="shared" si="31"/>
        <v>1</v>
      </c>
    </row>
    <row r="994" spans="1:15" x14ac:dyDescent="0.2">
      <c r="A994" s="1">
        <v>45782</v>
      </c>
      <c r="B994">
        <v>1</v>
      </c>
      <c r="C994" t="s">
        <v>16</v>
      </c>
      <c r="D994" s="2">
        <v>0.39791666666666664</v>
      </c>
      <c r="E994">
        <v>19920.87</v>
      </c>
      <c r="F994" s="2">
        <v>0.40069444444444446</v>
      </c>
      <c r="G994">
        <v>19955.73</v>
      </c>
      <c r="H994">
        <v>19906.93</v>
      </c>
      <c r="I994">
        <v>19955.73</v>
      </c>
      <c r="J994" t="s">
        <v>14</v>
      </c>
      <c r="K994">
        <v>34.86</v>
      </c>
      <c r="L994" s="9">
        <v>2.5</v>
      </c>
      <c r="M994">
        <v>1</v>
      </c>
      <c r="N994">
        <f t="shared" si="30"/>
        <v>0</v>
      </c>
      <c r="O994">
        <f t="shared" si="31"/>
        <v>2</v>
      </c>
    </row>
    <row r="995" spans="1:15" x14ac:dyDescent="0.2">
      <c r="A995" s="1">
        <v>45782</v>
      </c>
      <c r="B995">
        <v>1</v>
      </c>
      <c r="C995" t="s">
        <v>13</v>
      </c>
      <c r="D995" s="2">
        <v>0.44166666666666665</v>
      </c>
      <c r="E995">
        <v>19940.16</v>
      </c>
      <c r="F995" s="2">
        <v>0.44236111111111109</v>
      </c>
      <c r="G995">
        <v>19954.12</v>
      </c>
      <c r="H995">
        <v>19954.12</v>
      </c>
      <c r="I995">
        <v>19905.259999999998</v>
      </c>
      <c r="J995" t="s">
        <v>15</v>
      </c>
      <c r="K995">
        <v>-13.96</v>
      </c>
      <c r="L995" s="9">
        <v>-1</v>
      </c>
      <c r="M995">
        <v>0</v>
      </c>
      <c r="N995">
        <f t="shared" si="30"/>
        <v>1</v>
      </c>
      <c r="O995">
        <f t="shared" si="31"/>
        <v>0</v>
      </c>
    </row>
    <row r="996" spans="1:15" x14ac:dyDescent="0.2">
      <c r="A996" s="1">
        <v>45782</v>
      </c>
      <c r="B996">
        <v>1</v>
      </c>
      <c r="C996" t="s">
        <v>16</v>
      </c>
      <c r="D996" s="2">
        <v>0.45763888888888887</v>
      </c>
      <c r="E996">
        <v>20012.91</v>
      </c>
      <c r="F996" s="2">
        <v>0.46250000000000002</v>
      </c>
      <c r="G996">
        <v>19998.900000000001</v>
      </c>
      <c r="H996">
        <v>19998.900000000001</v>
      </c>
      <c r="I996">
        <v>20047.93</v>
      </c>
      <c r="J996" t="s">
        <v>15</v>
      </c>
      <c r="K996">
        <v>-14.01</v>
      </c>
      <c r="L996" s="9">
        <v>-1</v>
      </c>
      <c r="M996">
        <v>0</v>
      </c>
      <c r="N996">
        <f t="shared" si="30"/>
        <v>2</v>
      </c>
      <c r="O996">
        <f t="shared" si="31"/>
        <v>0</v>
      </c>
    </row>
    <row r="997" spans="1:15" x14ac:dyDescent="0.2">
      <c r="A997" s="1">
        <v>45783</v>
      </c>
      <c r="B997">
        <v>2</v>
      </c>
      <c r="C997" t="s">
        <v>16</v>
      </c>
      <c r="D997" s="2">
        <v>0.40416666666666667</v>
      </c>
      <c r="E997">
        <v>19761.68</v>
      </c>
      <c r="F997" s="2">
        <v>0.40694444444444444</v>
      </c>
      <c r="G997">
        <v>19747.849999999999</v>
      </c>
      <c r="H997">
        <v>19747.849999999999</v>
      </c>
      <c r="I997">
        <v>19796.27</v>
      </c>
      <c r="J997" t="s">
        <v>15</v>
      </c>
      <c r="K997">
        <v>-13.83</v>
      </c>
      <c r="L997" s="9">
        <v>-1</v>
      </c>
      <c r="M997">
        <v>0</v>
      </c>
      <c r="N997">
        <f t="shared" si="30"/>
        <v>3</v>
      </c>
      <c r="O997">
        <f t="shared" si="31"/>
        <v>0</v>
      </c>
    </row>
    <row r="998" spans="1:15" x14ac:dyDescent="0.2">
      <c r="A998" s="1">
        <v>45783</v>
      </c>
      <c r="B998">
        <v>2</v>
      </c>
      <c r="C998" t="s">
        <v>16</v>
      </c>
      <c r="D998" s="2">
        <v>0.43333333333333335</v>
      </c>
      <c r="E998">
        <v>19797</v>
      </c>
      <c r="F998" s="2">
        <v>0.44027777777777777</v>
      </c>
      <c r="G998">
        <v>19831.650000000001</v>
      </c>
      <c r="H998">
        <v>19783.14</v>
      </c>
      <c r="I998">
        <v>19831.650000000001</v>
      </c>
      <c r="J998" t="s">
        <v>14</v>
      </c>
      <c r="K998">
        <v>34.64</v>
      </c>
      <c r="L998" s="9">
        <v>2.5</v>
      </c>
      <c r="M998">
        <v>1</v>
      </c>
      <c r="N998">
        <f t="shared" si="30"/>
        <v>0</v>
      </c>
      <c r="O998">
        <f t="shared" si="31"/>
        <v>1</v>
      </c>
    </row>
    <row r="999" spans="1:15" x14ac:dyDescent="0.2">
      <c r="A999" s="1">
        <v>45784</v>
      </c>
      <c r="B999">
        <v>3</v>
      </c>
      <c r="C999" t="s">
        <v>13</v>
      </c>
      <c r="D999" s="2">
        <v>0.40208333333333335</v>
      </c>
      <c r="E999">
        <v>19799.27</v>
      </c>
      <c r="F999" s="2">
        <v>0.40277777777777779</v>
      </c>
      <c r="G999">
        <v>19813.13</v>
      </c>
      <c r="H999">
        <v>19813.13</v>
      </c>
      <c r="I999">
        <v>19764.62</v>
      </c>
      <c r="J999" t="s">
        <v>15</v>
      </c>
      <c r="K999">
        <v>-13.86</v>
      </c>
      <c r="L999" s="9">
        <v>-1</v>
      </c>
      <c r="M999">
        <v>0</v>
      </c>
      <c r="N999">
        <f t="shared" si="30"/>
        <v>1</v>
      </c>
      <c r="O999">
        <f t="shared" si="31"/>
        <v>0</v>
      </c>
    </row>
    <row r="1000" spans="1:15" x14ac:dyDescent="0.2">
      <c r="A1000" s="1">
        <v>45784</v>
      </c>
      <c r="B1000">
        <v>3</v>
      </c>
      <c r="C1000" t="s">
        <v>16</v>
      </c>
      <c r="D1000" s="2">
        <v>0.42499999999999999</v>
      </c>
      <c r="E1000">
        <v>19858.439999999999</v>
      </c>
      <c r="F1000" s="2">
        <v>0.43819444444444444</v>
      </c>
      <c r="G1000">
        <v>19893.189999999999</v>
      </c>
      <c r="H1000">
        <v>19844.53</v>
      </c>
      <c r="I1000">
        <v>19893.189999999999</v>
      </c>
      <c r="J1000" t="s">
        <v>14</v>
      </c>
      <c r="K1000">
        <v>34.75</v>
      </c>
      <c r="L1000" s="9">
        <v>2.5</v>
      </c>
      <c r="M1000">
        <v>1</v>
      </c>
      <c r="N1000">
        <f t="shared" si="30"/>
        <v>0</v>
      </c>
      <c r="O1000">
        <f t="shared" si="31"/>
        <v>1</v>
      </c>
    </row>
    <row r="1001" spans="1:15" x14ac:dyDescent="0.2">
      <c r="A1001" s="1">
        <v>45784</v>
      </c>
      <c r="B1001">
        <v>3</v>
      </c>
      <c r="C1001" t="s">
        <v>13</v>
      </c>
      <c r="D1001" s="2">
        <v>0.45694444444444443</v>
      </c>
      <c r="E1001">
        <v>19767.28</v>
      </c>
      <c r="F1001" s="2">
        <v>0.45902777777777776</v>
      </c>
      <c r="G1001">
        <v>19732.68</v>
      </c>
      <c r="H1001">
        <v>19781.11</v>
      </c>
      <c r="I1001">
        <v>19732.68</v>
      </c>
      <c r="J1001" t="s">
        <v>14</v>
      </c>
      <c r="K1001">
        <v>34.590000000000003</v>
      </c>
      <c r="L1001" s="9">
        <v>2.5</v>
      </c>
      <c r="M1001">
        <v>1</v>
      </c>
      <c r="N1001">
        <f t="shared" si="30"/>
        <v>0</v>
      </c>
      <c r="O1001">
        <f t="shared" si="31"/>
        <v>2</v>
      </c>
    </row>
    <row r="1002" spans="1:15" x14ac:dyDescent="0.2">
      <c r="A1002" s="1">
        <v>45785</v>
      </c>
      <c r="B1002">
        <v>4</v>
      </c>
      <c r="C1002" t="s">
        <v>13</v>
      </c>
      <c r="D1002" s="2">
        <v>0.4</v>
      </c>
      <c r="E1002">
        <v>20048.939999999999</v>
      </c>
      <c r="F1002" s="2">
        <v>0.40833333333333333</v>
      </c>
      <c r="G1002">
        <v>20013.849999999999</v>
      </c>
      <c r="H1002">
        <v>20062.97</v>
      </c>
      <c r="I1002">
        <v>20013.849999999999</v>
      </c>
      <c r="J1002" t="s">
        <v>14</v>
      </c>
      <c r="K1002">
        <v>35.090000000000003</v>
      </c>
      <c r="L1002" s="9">
        <v>2.5</v>
      </c>
      <c r="M1002">
        <v>1</v>
      </c>
      <c r="N1002">
        <f t="shared" si="30"/>
        <v>0</v>
      </c>
      <c r="O1002">
        <f t="shared" si="31"/>
        <v>3</v>
      </c>
    </row>
    <row r="1003" spans="1:15" x14ac:dyDescent="0.2">
      <c r="A1003" s="1">
        <v>45785</v>
      </c>
      <c r="B1003">
        <v>4</v>
      </c>
      <c r="C1003" t="s">
        <v>13</v>
      </c>
      <c r="D1003" s="2">
        <v>0.42638888888888887</v>
      </c>
      <c r="E1003">
        <v>19970.54</v>
      </c>
      <c r="F1003" s="2">
        <v>0.42916666666666664</v>
      </c>
      <c r="G1003">
        <v>19984.52</v>
      </c>
      <c r="H1003">
        <v>19984.52</v>
      </c>
      <c r="I1003">
        <v>19935.59</v>
      </c>
      <c r="J1003" t="s">
        <v>15</v>
      </c>
      <c r="K1003">
        <v>-13.98</v>
      </c>
      <c r="L1003" s="9">
        <v>-1</v>
      </c>
      <c r="M1003">
        <v>0</v>
      </c>
      <c r="N1003">
        <f t="shared" si="30"/>
        <v>1</v>
      </c>
      <c r="O1003">
        <f t="shared" si="31"/>
        <v>0</v>
      </c>
    </row>
    <row r="1004" spans="1:15" x14ac:dyDescent="0.2">
      <c r="A1004" s="1">
        <v>45785</v>
      </c>
      <c r="B1004">
        <v>4</v>
      </c>
      <c r="C1004" t="s">
        <v>13</v>
      </c>
      <c r="D1004" s="2">
        <v>0.4513888888888889</v>
      </c>
      <c r="E1004">
        <v>19970.8</v>
      </c>
      <c r="F1004" s="2">
        <v>0.45208333333333334</v>
      </c>
      <c r="G1004">
        <v>19984.78</v>
      </c>
      <c r="H1004">
        <v>19984.78</v>
      </c>
      <c r="I1004">
        <v>19935.849999999999</v>
      </c>
      <c r="J1004" t="s">
        <v>15</v>
      </c>
      <c r="K1004">
        <v>-13.98</v>
      </c>
      <c r="L1004" s="9">
        <v>-1</v>
      </c>
      <c r="M1004">
        <v>0</v>
      </c>
      <c r="N1004">
        <f t="shared" si="30"/>
        <v>2</v>
      </c>
      <c r="O1004">
        <f t="shared" si="31"/>
        <v>0</v>
      </c>
    </row>
    <row r="1005" spans="1:15" x14ac:dyDescent="0.2">
      <c r="A1005" s="1">
        <v>45786</v>
      </c>
      <c r="B1005">
        <v>5</v>
      </c>
      <c r="C1005" t="s">
        <v>13</v>
      </c>
      <c r="D1005" s="2">
        <v>0.4375</v>
      </c>
      <c r="E1005">
        <v>20067.11</v>
      </c>
      <c r="F1005" s="2">
        <v>0.44097222222222221</v>
      </c>
      <c r="G1005">
        <v>20031.990000000002</v>
      </c>
      <c r="H1005">
        <v>20081.150000000001</v>
      </c>
      <c r="I1005">
        <v>20031.990000000002</v>
      </c>
      <c r="J1005" t="s">
        <v>14</v>
      </c>
      <c r="K1005">
        <v>35.119999999999997</v>
      </c>
      <c r="L1005" s="9">
        <v>2.5</v>
      </c>
      <c r="M1005">
        <v>1</v>
      </c>
      <c r="N1005">
        <f t="shared" si="30"/>
        <v>0</v>
      </c>
      <c r="O1005">
        <f t="shared" si="31"/>
        <v>1</v>
      </c>
    </row>
    <row r="1006" spans="1:15" x14ac:dyDescent="0.2">
      <c r="A1006" s="1">
        <v>45789</v>
      </c>
      <c r="B1006">
        <v>1</v>
      </c>
      <c r="C1006" t="s">
        <v>13</v>
      </c>
      <c r="D1006" s="2">
        <v>0.40277777777777779</v>
      </c>
      <c r="E1006">
        <v>20713.13</v>
      </c>
      <c r="F1006" s="2">
        <v>0.40416666666666667</v>
      </c>
      <c r="G1006">
        <v>20676.88</v>
      </c>
      <c r="H1006">
        <v>20727.63</v>
      </c>
      <c r="I1006">
        <v>20676.88</v>
      </c>
      <c r="J1006" t="s">
        <v>14</v>
      </c>
      <c r="K1006">
        <v>36.25</v>
      </c>
      <c r="L1006" s="9">
        <v>2.5</v>
      </c>
      <c r="M1006">
        <v>1</v>
      </c>
      <c r="N1006">
        <f t="shared" si="30"/>
        <v>0</v>
      </c>
      <c r="O1006">
        <f t="shared" si="31"/>
        <v>2</v>
      </c>
    </row>
    <row r="1007" spans="1:15" x14ac:dyDescent="0.2">
      <c r="A1007" s="1">
        <v>45789</v>
      </c>
      <c r="B1007">
        <v>1</v>
      </c>
      <c r="C1007" t="s">
        <v>16</v>
      </c>
      <c r="D1007" s="2">
        <v>0.42916666666666664</v>
      </c>
      <c r="E1007">
        <v>20750.810000000001</v>
      </c>
      <c r="F1007" s="2">
        <v>0.42986111111111114</v>
      </c>
      <c r="G1007">
        <v>20736.29</v>
      </c>
      <c r="H1007">
        <v>20736.29</v>
      </c>
      <c r="I1007">
        <v>20787.13</v>
      </c>
      <c r="J1007" t="s">
        <v>15</v>
      </c>
      <c r="K1007">
        <v>-14.53</v>
      </c>
      <c r="L1007" s="9">
        <v>-1</v>
      </c>
      <c r="M1007">
        <v>0</v>
      </c>
      <c r="N1007">
        <f t="shared" si="30"/>
        <v>1</v>
      </c>
      <c r="O1007">
        <f t="shared" si="31"/>
        <v>0</v>
      </c>
    </row>
    <row r="1008" spans="1:15" x14ac:dyDescent="0.2">
      <c r="A1008" s="1">
        <v>45789</v>
      </c>
      <c r="B1008">
        <v>1</v>
      </c>
      <c r="C1008" t="s">
        <v>13</v>
      </c>
      <c r="D1008" s="2">
        <v>0.43958333333333333</v>
      </c>
      <c r="E1008">
        <v>20642.87</v>
      </c>
      <c r="F1008" s="2">
        <v>0.44374999999999998</v>
      </c>
      <c r="G1008">
        <v>20657.32</v>
      </c>
      <c r="H1008">
        <v>20657.32</v>
      </c>
      <c r="I1008">
        <v>20606.75</v>
      </c>
      <c r="J1008" t="s">
        <v>15</v>
      </c>
      <c r="K1008">
        <v>-14.45</v>
      </c>
      <c r="L1008" s="9">
        <v>-1</v>
      </c>
      <c r="M1008">
        <v>0</v>
      </c>
      <c r="N1008">
        <f t="shared" si="30"/>
        <v>2</v>
      </c>
      <c r="O1008">
        <f t="shared" si="31"/>
        <v>0</v>
      </c>
    </row>
    <row r="1009" spans="1:15" x14ac:dyDescent="0.2">
      <c r="A1009" s="1">
        <v>45790</v>
      </c>
      <c r="B1009">
        <v>2</v>
      </c>
      <c r="C1009" t="s">
        <v>16</v>
      </c>
      <c r="D1009" s="2">
        <v>0.40416666666666667</v>
      </c>
      <c r="E1009">
        <v>20982.41</v>
      </c>
      <c r="F1009" s="2">
        <v>0.40486111111111112</v>
      </c>
      <c r="G1009">
        <v>20967.72</v>
      </c>
      <c r="H1009">
        <v>20967.72</v>
      </c>
      <c r="I1009">
        <v>21019.13</v>
      </c>
      <c r="J1009" t="s">
        <v>15</v>
      </c>
      <c r="K1009">
        <v>-14.69</v>
      </c>
      <c r="L1009" s="9">
        <v>-1</v>
      </c>
      <c r="M1009">
        <v>0</v>
      </c>
      <c r="N1009">
        <f t="shared" si="30"/>
        <v>3</v>
      </c>
      <c r="O1009">
        <f t="shared" si="31"/>
        <v>0</v>
      </c>
    </row>
    <row r="1010" spans="1:15" x14ac:dyDescent="0.2">
      <c r="A1010" s="1">
        <v>45790</v>
      </c>
      <c r="B1010">
        <v>2</v>
      </c>
      <c r="C1010" t="s">
        <v>16</v>
      </c>
      <c r="D1010" s="2">
        <v>0.45694444444444443</v>
      </c>
      <c r="E1010">
        <v>21161.67</v>
      </c>
      <c r="F1010" s="2">
        <v>0.47638888888888886</v>
      </c>
      <c r="G1010">
        <v>21198.7</v>
      </c>
      <c r="H1010">
        <v>21146.85</v>
      </c>
      <c r="I1010">
        <v>21198.7</v>
      </c>
      <c r="J1010" t="s">
        <v>14</v>
      </c>
      <c r="K1010">
        <v>37.03</v>
      </c>
      <c r="L1010" s="9">
        <v>2.5</v>
      </c>
      <c r="M1010">
        <v>1</v>
      </c>
      <c r="N1010">
        <f t="shared" si="30"/>
        <v>0</v>
      </c>
      <c r="O1010">
        <f t="shared" si="31"/>
        <v>1</v>
      </c>
    </row>
    <row r="1011" spans="1:15" x14ac:dyDescent="0.2">
      <c r="A1011" s="1">
        <v>45791</v>
      </c>
      <c r="B1011">
        <v>3</v>
      </c>
      <c r="C1011" t="s">
        <v>16</v>
      </c>
      <c r="D1011" s="2">
        <v>0.40138888888888891</v>
      </c>
      <c r="E1011">
        <v>21302.54</v>
      </c>
      <c r="F1011" s="2">
        <v>0.40277777777777779</v>
      </c>
      <c r="G1011">
        <v>21287.63</v>
      </c>
      <c r="H1011">
        <v>21287.63</v>
      </c>
      <c r="I1011">
        <v>21339.82</v>
      </c>
      <c r="J1011" t="s">
        <v>15</v>
      </c>
      <c r="K1011">
        <v>-14.91</v>
      </c>
      <c r="L1011" s="9">
        <v>-1</v>
      </c>
      <c r="M1011">
        <v>0</v>
      </c>
      <c r="N1011">
        <f t="shared" si="30"/>
        <v>1</v>
      </c>
      <c r="O1011">
        <f t="shared" si="31"/>
        <v>0</v>
      </c>
    </row>
    <row r="1012" spans="1:15" x14ac:dyDescent="0.2">
      <c r="A1012" s="1">
        <v>45791</v>
      </c>
      <c r="B1012">
        <v>3</v>
      </c>
      <c r="C1012" t="s">
        <v>13</v>
      </c>
      <c r="D1012" s="2">
        <v>0.4152777777777778</v>
      </c>
      <c r="E1012">
        <v>21216</v>
      </c>
      <c r="F1012" s="2">
        <v>0.41597222222222224</v>
      </c>
      <c r="G1012">
        <v>21230.86</v>
      </c>
      <c r="H1012">
        <v>21230.86</v>
      </c>
      <c r="I1012">
        <v>21178.880000000001</v>
      </c>
      <c r="J1012" t="s">
        <v>15</v>
      </c>
      <c r="K1012">
        <v>-14.85</v>
      </c>
      <c r="L1012" s="9">
        <v>-1</v>
      </c>
      <c r="M1012">
        <v>0</v>
      </c>
      <c r="N1012">
        <f t="shared" si="30"/>
        <v>2</v>
      </c>
      <c r="O1012">
        <f t="shared" si="31"/>
        <v>0</v>
      </c>
    </row>
    <row r="1013" spans="1:15" x14ac:dyDescent="0.2">
      <c r="A1013" s="1">
        <v>45791</v>
      </c>
      <c r="B1013">
        <v>3</v>
      </c>
      <c r="C1013" t="s">
        <v>16</v>
      </c>
      <c r="D1013" s="2">
        <v>0.4375</v>
      </c>
      <c r="E1013">
        <v>21262.27</v>
      </c>
      <c r="F1013" s="2">
        <v>0.44027777777777777</v>
      </c>
      <c r="G1013">
        <v>21247.39</v>
      </c>
      <c r="H1013">
        <v>21247.39</v>
      </c>
      <c r="I1013">
        <v>21299.48</v>
      </c>
      <c r="J1013" t="s">
        <v>15</v>
      </c>
      <c r="K1013">
        <v>-14.88</v>
      </c>
      <c r="L1013" s="9">
        <v>-1</v>
      </c>
      <c r="M1013">
        <v>0</v>
      </c>
      <c r="N1013">
        <f t="shared" si="30"/>
        <v>3</v>
      </c>
      <c r="O1013">
        <f t="shared" si="31"/>
        <v>0</v>
      </c>
    </row>
    <row r="1014" spans="1:15" x14ac:dyDescent="0.2">
      <c r="A1014" s="1">
        <v>45792</v>
      </c>
      <c r="B1014">
        <v>4</v>
      </c>
      <c r="C1014" t="s">
        <v>16</v>
      </c>
      <c r="D1014" s="2">
        <v>0.42222222222222222</v>
      </c>
      <c r="E1014">
        <v>21238.799999999999</v>
      </c>
      <c r="F1014" s="2">
        <v>0.42291666666666666</v>
      </c>
      <c r="G1014">
        <v>21223.93</v>
      </c>
      <c r="H1014">
        <v>21223.93</v>
      </c>
      <c r="I1014">
        <v>21275.97</v>
      </c>
      <c r="J1014" t="s">
        <v>15</v>
      </c>
      <c r="K1014">
        <v>-14.87</v>
      </c>
      <c r="L1014" s="9">
        <v>-1</v>
      </c>
      <c r="M1014">
        <v>0</v>
      </c>
      <c r="N1014">
        <f t="shared" si="30"/>
        <v>4</v>
      </c>
      <c r="O1014">
        <f t="shared" si="31"/>
        <v>0</v>
      </c>
    </row>
    <row r="1015" spans="1:15" x14ac:dyDescent="0.2">
      <c r="A1015" s="1">
        <v>45792</v>
      </c>
      <c r="B1015">
        <v>4</v>
      </c>
      <c r="C1015" t="s">
        <v>13</v>
      </c>
      <c r="D1015" s="2">
        <v>0.44236111111111109</v>
      </c>
      <c r="E1015">
        <v>21187.17</v>
      </c>
      <c r="F1015" s="2">
        <v>0.44444444444444442</v>
      </c>
      <c r="G1015">
        <v>21202</v>
      </c>
      <c r="H1015">
        <v>21202</v>
      </c>
      <c r="I1015">
        <v>21150.09</v>
      </c>
      <c r="J1015" t="s">
        <v>15</v>
      </c>
      <c r="K1015">
        <v>-14.83</v>
      </c>
      <c r="L1015" s="9">
        <v>-1</v>
      </c>
      <c r="M1015">
        <v>0</v>
      </c>
      <c r="N1015">
        <f t="shared" si="30"/>
        <v>5</v>
      </c>
      <c r="O1015">
        <f t="shared" si="31"/>
        <v>0</v>
      </c>
    </row>
    <row r="1016" spans="1:15" x14ac:dyDescent="0.2">
      <c r="A1016" s="1">
        <v>45793</v>
      </c>
      <c r="B1016">
        <v>5</v>
      </c>
      <c r="C1016" t="s">
        <v>13</v>
      </c>
      <c r="D1016" s="2">
        <v>0.40138888888888891</v>
      </c>
      <c r="E1016">
        <v>21338.94</v>
      </c>
      <c r="F1016" s="2">
        <v>0.40208333333333335</v>
      </c>
      <c r="G1016">
        <v>21353.88</v>
      </c>
      <c r="H1016">
        <v>21353.88</v>
      </c>
      <c r="I1016">
        <v>21301.599999999999</v>
      </c>
      <c r="J1016" t="s">
        <v>15</v>
      </c>
      <c r="K1016">
        <v>-14.94</v>
      </c>
      <c r="L1016" s="9">
        <v>-1</v>
      </c>
      <c r="M1016">
        <v>0</v>
      </c>
      <c r="N1016">
        <f t="shared" si="30"/>
        <v>6</v>
      </c>
      <c r="O1016">
        <f t="shared" si="31"/>
        <v>0</v>
      </c>
    </row>
    <row r="1017" spans="1:15" x14ac:dyDescent="0.2">
      <c r="A1017" s="1">
        <v>45793</v>
      </c>
      <c r="B1017">
        <v>5</v>
      </c>
      <c r="C1017" t="s">
        <v>13</v>
      </c>
      <c r="D1017" s="2">
        <v>0.44305555555555554</v>
      </c>
      <c r="E1017">
        <v>21306.15</v>
      </c>
      <c r="F1017" s="2">
        <v>0.4465277777777778</v>
      </c>
      <c r="G1017">
        <v>21268.87</v>
      </c>
      <c r="H1017">
        <v>21321.07</v>
      </c>
      <c r="I1017">
        <v>21268.87</v>
      </c>
      <c r="J1017" t="s">
        <v>14</v>
      </c>
      <c r="K1017">
        <v>37.29</v>
      </c>
      <c r="L1017" s="9">
        <v>2.5</v>
      </c>
      <c r="M1017">
        <v>1</v>
      </c>
      <c r="N1017">
        <f t="shared" si="30"/>
        <v>0</v>
      </c>
      <c r="O1017">
        <f t="shared" si="31"/>
        <v>1</v>
      </c>
    </row>
    <row r="1018" spans="1:15" x14ac:dyDescent="0.2">
      <c r="A1018" s="1">
        <v>45796</v>
      </c>
      <c r="B1018">
        <v>1</v>
      </c>
      <c r="C1018" t="s">
        <v>16</v>
      </c>
      <c r="D1018" s="2">
        <v>0.4</v>
      </c>
      <c r="E1018">
        <v>21172.06</v>
      </c>
      <c r="F1018" s="2">
        <v>0.40069444444444446</v>
      </c>
      <c r="G1018">
        <v>21209.11</v>
      </c>
      <c r="H1018">
        <v>21157.24</v>
      </c>
      <c r="I1018">
        <v>21209.11</v>
      </c>
      <c r="J1018" t="s">
        <v>14</v>
      </c>
      <c r="K1018">
        <v>37.049999999999997</v>
      </c>
      <c r="L1018" s="9">
        <v>2.5</v>
      </c>
      <c r="M1018">
        <v>1</v>
      </c>
      <c r="N1018">
        <f t="shared" si="30"/>
        <v>0</v>
      </c>
      <c r="O1018">
        <f t="shared" si="31"/>
        <v>2</v>
      </c>
    </row>
    <row r="1019" spans="1:15" x14ac:dyDescent="0.2">
      <c r="A1019" s="1">
        <v>45796</v>
      </c>
      <c r="B1019">
        <v>1</v>
      </c>
      <c r="C1019" t="s">
        <v>13</v>
      </c>
      <c r="D1019" s="2">
        <v>0.45694444444444443</v>
      </c>
      <c r="E1019">
        <v>21318.32</v>
      </c>
      <c r="F1019" s="2">
        <v>0.4597222222222222</v>
      </c>
      <c r="G1019">
        <v>21333.24</v>
      </c>
      <c r="H1019">
        <v>21333.24</v>
      </c>
      <c r="I1019">
        <v>21281.01</v>
      </c>
      <c r="J1019" t="s">
        <v>15</v>
      </c>
      <c r="K1019">
        <v>-14.92</v>
      </c>
      <c r="L1019" s="9">
        <v>-1</v>
      </c>
      <c r="M1019">
        <v>0</v>
      </c>
      <c r="N1019">
        <f t="shared" si="30"/>
        <v>1</v>
      </c>
      <c r="O1019">
        <f t="shared" si="31"/>
        <v>0</v>
      </c>
    </row>
    <row r="1020" spans="1:15" x14ac:dyDescent="0.2">
      <c r="A1020" s="1">
        <v>45797</v>
      </c>
      <c r="B1020">
        <v>2</v>
      </c>
      <c r="C1020" t="s">
        <v>13</v>
      </c>
      <c r="D1020" s="2">
        <v>0.41041666666666665</v>
      </c>
      <c r="E1020">
        <v>21304.7</v>
      </c>
      <c r="F1020" s="2">
        <v>0.41111111111111109</v>
      </c>
      <c r="G1020">
        <v>21319.61</v>
      </c>
      <c r="H1020">
        <v>21319.61</v>
      </c>
      <c r="I1020">
        <v>21267.42</v>
      </c>
      <c r="J1020" t="s">
        <v>15</v>
      </c>
      <c r="K1020">
        <v>-14.91</v>
      </c>
      <c r="L1020" s="9">
        <v>-1</v>
      </c>
      <c r="M1020">
        <v>0</v>
      </c>
      <c r="N1020">
        <f t="shared" si="30"/>
        <v>2</v>
      </c>
      <c r="O1020">
        <f t="shared" si="31"/>
        <v>0</v>
      </c>
    </row>
    <row r="1021" spans="1:15" x14ac:dyDescent="0.2">
      <c r="A1021" s="1">
        <v>45797</v>
      </c>
      <c r="B1021">
        <v>2</v>
      </c>
      <c r="C1021" t="s">
        <v>16</v>
      </c>
      <c r="D1021" s="2">
        <v>0.4465277777777778</v>
      </c>
      <c r="E1021">
        <v>21359.73</v>
      </c>
      <c r="F1021" s="2">
        <v>0.45624999999999999</v>
      </c>
      <c r="G1021">
        <v>21344.77</v>
      </c>
      <c r="H1021">
        <v>21344.77</v>
      </c>
      <c r="I1021">
        <v>21397.1</v>
      </c>
      <c r="J1021" t="s">
        <v>15</v>
      </c>
      <c r="K1021">
        <v>-14.95</v>
      </c>
      <c r="L1021" s="9">
        <v>-1</v>
      </c>
      <c r="M1021">
        <v>0</v>
      </c>
      <c r="N1021">
        <f t="shared" si="30"/>
        <v>3</v>
      </c>
      <c r="O1021">
        <f t="shared" si="31"/>
        <v>0</v>
      </c>
    </row>
    <row r="1022" spans="1:15" x14ac:dyDescent="0.2">
      <c r="A1022" s="1">
        <v>45798</v>
      </c>
      <c r="B1022">
        <v>3</v>
      </c>
      <c r="C1022" t="s">
        <v>16</v>
      </c>
      <c r="D1022" s="2">
        <v>0.40277777777777779</v>
      </c>
      <c r="E1022">
        <v>21258.85</v>
      </c>
      <c r="F1022" s="2">
        <v>0.40555555555555556</v>
      </c>
      <c r="G1022">
        <v>21296.05</v>
      </c>
      <c r="H1022">
        <v>21243.96</v>
      </c>
      <c r="I1022">
        <v>21296.05</v>
      </c>
      <c r="J1022" t="s">
        <v>14</v>
      </c>
      <c r="K1022">
        <v>37.200000000000003</v>
      </c>
      <c r="L1022" s="9">
        <v>2.5</v>
      </c>
      <c r="M1022">
        <v>1</v>
      </c>
      <c r="N1022">
        <f t="shared" si="30"/>
        <v>0</v>
      </c>
      <c r="O1022">
        <f t="shared" si="31"/>
        <v>1</v>
      </c>
    </row>
    <row r="1023" spans="1:15" x14ac:dyDescent="0.2">
      <c r="A1023" s="1">
        <v>45799</v>
      </c>
      <c r="B1023">
        <v>4</v>
      </c>
      <c r="C1023" t="s">
        <v>16</v>
      </c>
      <c r="D1023" s="2">
        <v>0.41875000000000001</v>
      </c>
      <c r="E1023">
        <v>21220.52</v>
      </c>
      <c r="F1023" s="2">
        <v>0.42152777777777778</v>
      </c>
      <c r="G1023">
        <v>21257.66</v>
      </c>
      <c r="H1023">
        <v>21205.67</v>
      </c>
      <c r="I1023">
        <v>21257.66</v>
      </c>
      <c r="J1023" t="s">
        <v>14</v>
      </c>
      <c r="K1023">
        <v>37.14</v>
      </c>
      <c r="L1023" s="9">
        <v>2.5</v>
      </c>
      <c r="M1023">
        <v>1</v>
      </c>
      <c r="N1023">
        <f t="shared" si="30"/>
        <v>0</v>
      </c>
      <c r="O1023">
        <f t="shared" si="31"/>
        <v>2</v>
      </c>
    </row>
    <row r="1024" spans="1:15" x14ac:dyDescent="0.2">
      <c r="A1024" s="1">
        <v>45799</v>
      </c>
      <c r="B1024">
        <v>4</v>
      </c>
      <c r="C1024" t="s">
        <v>13</v>
      </c>
      <c r="D1024" s="2">
        <v>0.45694444444444443</v>
      </c>
      <c r="E1024">
        <v>21119.59</v>
      </c>
      <c r="F1024" s="2">
        <v>0.45763888888888887</v>
      </c>
      <c r="G1024">
        <v>21134.37</v>
      </c>
      <c r="H1024">
        <v>21134.37</v>
      </c>
      <c r="I1024">
        <v>21082.63</v>
      </c>
      <c r="J1024" t="s">
        <v>15</v>
      </c>
      <c r="K1024">
        <v>-14.78</v>
      </c>
      <c r="L1024" s="9">
        <v>-1</v>
      </c>
      <c r="M1024">
        <v>0</v>
      </c>
      <c r="N1024">
        <f t="shared" si="30"/>
        <v>1</v>
      </c>
      <c r="O1024">
        <f t="shared" si="31"/>
        <v>0</v>
      </c>
    </row>
    <row r="1025" spans="1:16" x14ac:dyDescent="0.2">
      <c r="A1025" s="1">
        <v>45803</v>
      </c>
      <c r="B1025">
        <v>1</v>
      </c>
      <c r="C1025" t="s">
        <v>16</v>
      </c>
      <c r="D1025" s="2">
        <v>0.40277777777777779</v>
      </c>
      <c r="E1025">
        <v>21239.279999999999</v>
      </c>
      <c r="F1025" s="2">
        <v>0.41249999999999998</v>
      </c>
      <c r="G1025">
        <v>21224.41</v>
      </c>
      <c r="H1025">
        <v>21224.41</v>
      </c>
      <c r="I1025">
        <v>21276.45</v>
      </c>
      <c r="J1025" t="s">
        <v>15</v>
      </c>
      <c r="K1025">
        <v>-14.87</v>
      </c>
      <c r="L1025" s="9">
        <v>-1</v>
      </c>
      <c r="M1025">
        <v>0</v>
      </c>
      <c r="N1025">
        <f t="shared" si="30"/>
        <v>2</v>
      </c>
      <c r="O1025">
        <f t="shared" si="31"/>
        <v>0</v>
      </c>
    </row>
    <row r="1026" spans="1:16" x14ac:dyDescent="0.2">
      <c r="A1026" s="1">
        <v>45803</v>
      </c>
      <c r="B1026">
        <v>1</v>
      </c>
      <c r="C1026" t="s">
        <v>13</v>
      </c>
      <c r="D1026" s="2">
        <v>0.42222222222222222</v>
      </c>
      <c r="E1026">
        <v>21211.88</v>
      </c>
      <c r="F1026" s="2">
        <v>0.45555555555555555</v>
      </c>
      <c r="G1026">
        <v>21174.75</v>
      </c>
      <c r="H1026">
        <v>21226.720000000001</v>
      </c>
      <c r="I1026">
        <v>21174.75</v>
      </c>
      <c r="J1026" t="s">
        <v>14</v>
      </c>
      <c r="K1026">
        <v>37.119999999999997</v>
      </c>
      <c r="L1026" s="9">
        <v>2.5</v>
      </c>
      <c r="M1026">
        <v>1</v>
      </c>
      <c r="N1026">
        <f t="shared" ref="N1026:N1089" si="32">IF(M1026=0, IF(M1025=0, N1025+1, 1), 0)</f>
        <v>0</v>
      </c>
      <c r="O1026">
        <f t="shared" ref="O1026:O1089" si="33">IF(M1026=1, IF(M1025=1, O1025+1, 1), 0)</f>
        <v>1</v>
      </c>
    </row>
    <row r="1027" spans="1:16" x14ac:dyDescent="0.2">
      <c r="A1027" s="1">
        <v>45804</v>
      </c>
      <c r="B1027">
        <v>2</v>
      </c>
      <c r="C1027" t="s">
        <v>13</v>
      </c>
      <c r="D1027" s="2">
        <v>0.40138888888888891</v>
      </c>
      <c r="E1027">
        <v>21164.82</v>
      </c>
      <c r="F1027" s="2">
        <v>0.40277777777777779</v>
      </c>
      <c r="G1027">
        <v>21179.64</v>
      </c>
      <c r="H1027">
        <v>21179.64</v>
      </c>
      <c r="I1027">
        <v>21127.79</v>
      </c>
      <c r="J1027" t="s">
        <v>15</v>
      </c>
      <c r="K1027">
        <v>-14.82</v>
      </c>
      <c r="L1027" s="9">
        <v>-1</v>
      </c>
      <c r="M1027">
        <v>0</v>
      </c>
      <c r="N1027">
        <f t="shared" si="32"/>
        <v>1</v>
      </c>
      <c r="O1027">
        <f t="shared" si="33"/>
        <v>0</v>
      </c>
    </row>
    <row r="1028" spans="1:16" x14ac:dyDescent="0.2">
      <c r="A1028" s="1">
        <v>45804</v>
      </c>
      <c r="B1028">
        <v>2</v>
      </c>
      <c r="C1028" t="s">
        <v>16</v>
      </c>
      <c r="D1028" s="2">
        <v>0.41666666666666669</v>
      </c>
      <c r="E1028">
        <v>21238.87</v>
      </c>
      <c r="F1028" s="2">
        <v>0.41805555555555557</v>
      </c>
      <c r="G1028">
        <v>21276.03</v>
      </c>
      <c r="H1028">
        <v>21224</v>
      </c>
      <c r="I1028">
        <v>21276.03</v>
      </c>
      <c r="J1028" t="s">
        <v>14</v>
      </c>
      <c r="K1028">
        <v>37.17</v>
      </c>
      <c r="L1028" s="9">
        <v>2.5</v>
      </c>
      <c r="M1028">
        <v>1</v>
      </c>
      <c r="N1028">
        <f t="shared" si="32"/>
        <v>0</v>
      </c>
      <c r="O1028">
        <f t="shared" si="33"/>
        <v>1</v>
      </c>
    </row>
    <row r="1029" spans="1:16" x14ac:dyDescent="0.2">
      <c r="A1029" s="1">
        <v>45805</v>
      </c>
      <c r="B1029">
        <v>3</v>
      </c>
      <c r="C1029" t="s">
        <v>16</v>
      </c>
      <c r="D1029" s="2">
        <v>0.40486111111111112</v>
      </c>
      <c r="E1029">
        <v>21491.16</v>
      </c>
      <c r="F1029" s="2">
        <v>0.40625</v>
      </c>
      <c r="G1029">
        <v>21476.12</v>
      </c>
      <c r="H1029">
        <v>21476.12</v>
      </c>
      <c r="I1029">
        <v>21528.77</v>
      </c>
      <c r="J1029" t="s">
        <v>15</v>
      </c>
      <c r="K1029">
        <v>-15.04</v>
      </c>
      <c r="L1029" s="9">
        <v>-1</v>
      </c>
      <c r="M1029">
        <v>0</v>
      </c>
      <c r="N1029">
        <f t="shared" si="32"/>
        <v>1</v>
      </c>
      <c r="O1029">
        <f t="shared" si="33"/>
        <v>0</v>
      </c>
    </row>
    <row r="1030" spans="1:16" x14ac:dyDescent="0.2">
      <c r="A1030" s="1">
        <v>45805</v>
      </c>
      <c r="B1030">
        <v>3</v>
      </c>
      <c r="C1030" t="s">
        <v>13</v>
      </c>
      <c r="D1030" s="2">
        <v>0.4152777777777778</v>
      </c>
      <c r="E1030">
        <v>21424.29</v>
      </c>
      <c r="F1030" s="2">
        <v>0.43194444444444446</v>
      </c>
      <c r="G1030">
        <v>21386.799999999999</v>
      </c>
      <c r="H1030">
        <v>21439.29</v>
      </c>
      <c r="I1030">
        <v>21386.799999999999</v>
      </c>
      <c r="J1030" t="s">
        <v>14</v>
      </c>
      <c r="K1030">
        <v>37.49</v>
      </c>
      <c r="L1030" s="9">
        <v>2.5</v>
      </c>
      <c r="M1030">
        <v>1</v>
      </c>
      <c r="N1030">
        <f t="shared" si="32"/>
        <v>0</v>
      </c>
      <c r="O1030">
        <f t="shared" si="33"/>
        <v>1</v>
      </c>
    </row>
    <row r="1031" spans="1:16" x14ac:dyDescent="0.2">
      <c r="A1031" s="1">
        <v>45806</v>
      </c>
      <c r="B1031">
        <v>4</v>
      </c>
      <c r="C1031" t="s">
        <v>13</v>
      </c>
      <c r="D1031" s="2">
        <v>0.40347222222222223</v>
      </c>
      <c r="E1031">
        <v>21518.34</v>
      </c>
      <c r="F1031" s="2">
        <v>0.40555555555555556</v>
      </c>
      <c r="G1031">
        <v>21480.68</v>
      </c>
      <c r="H1031">
        <v>21533.4</v>
      </c>
      <c r="I1031">
        <v>21480.68</v>
      </c>
      <c r="J1031" t="s">
        <v>14</v>
      </c>
      <c r="K1031">
        <v>37.659999999999997</v>
      </c>
      <c r="L1031" s="9">
        <v>2.5</v>
      </c>
      <c r="M1031">
        <v>1</v>
      </c>
      <c r="N1031">
        <f t="shared" si="32"/>
        <v>0</v>
      </c>
      <c r="O1031">
        <f t="shared" si="33"/>
        <v>2</v>
      </c>
    </row>
    <row r="1032" spans="1:16" x14ac:dyDescent="0.2">
      <c r="A1032" s="1">
        <v>45806</v>
      </c>
      <c r="B1032">
        <v>4</v>
      </c>
      <c r="C1032" t="s">
        <v>16</v>
      </c>
      <c r="D1032" s="2">
        <v>0.4513888888888889</v>
      </c>
      <c r="E1032">
        <v>21418.58</v>
      </c>
      <c r="F1032" s="2">
        <v>0.45555555555555555</v>
      </c>
      <c r="G1032">
        <v>21456.06</v>
      </c>
      <c r="H1032">
        <v>21403.59</v>
      </c>
      <c r="I1032">
        <v>21456.06</v>
      </c>
      <c r="J1032" t="s">
        <v>14</v>
      </c>
      <c r="K1032">
        <v>37.479999999999997</v>
      </c>
      <c r="L1032" s="9">
        <v>2.5</v>
      </c>
      <c r="M1032">
        <v>1</v>
      </c>
      <c r="N1032">
        <f t="shared" si="32"/>
        <v>0</v>
      </c>
      <c r="O1032">
        <f t="shared" si="33"/>
        <v>3</v>
      </c>
    </row>
    <row r="1033" spans="1:16" x14ac:dyDescent="0.2">
      <c r="A1033" s="1">
        <v>45807</v>
      </c>
      <c r="B1033">
        <v>5</v>
      </c>
      <c r="C1033" t="s">
        <v>13</v>
      </c>
      <c r="D1033" s="2">
        <v>0.41249999999999998</v>
      </c>
      <c r="E1033">
        <v>21219.31</v>
      </c>
      <c r="F1033" s="2">
        <v>0.41666666666666669</v>
      </c>
      <c r="G1033">
        <v>21234.16</v>
      </c>
      <c r="H1033">
        <v>21234.16</v>
      </c>
      <c r="I1033">
        <v>21182.18</v>
      </c>
      <c r="J1033" t="s">
        <v>15</v>
      </c>
      <c r="K1033">
        <v>-14.85</v>
      </c>
      <c r="L1033" s="9">
        <v>-1</v>
      </c>
      <c r="M1033">
        <v>0</v>
      </c>
      <c r="N1033">
        <f t="shared" si="32"/>
        <v>1</v>
      </c>
      <c r="O1033">
        <f t="shared" si="33"/>
        <v>0</v>
      </c>
    </row>
    <row r="1034" spans="1:16" x14ac:dyDescent="0.2">
      <c r="A1034" s="1">
        <v>45807</v>
      </c>
      <c r="B1034">
        <v>5</v>
      </c>
      <c r="C1034" t="s">
        <v>16</v>
      </c>
      <c r="D1034" s="2">
        <v>0.42708333333333331</v>
      </c>
      <c r="E1034">
        <v>21315.759999999998</v>
      </c>
      <c r="F1034" s="2">
        <v>0.45763888888888887</v>
      </c>
      <c r="G1034">
        <v>21300.84</v>
      </c>
      <c r="H1034">
        <v>21300.84</v>
      </c>
      <c r="I1034">
        <v>21353.06</v>
      </c>
      <c r="J1034" t="s">
        <v>15</v>
      </c>
      <c r="K1034">
        <v>-14.92</v>
      </c>
      <c r="L1034" s="9">
        <v>-1</v>
      </c>
      <c r="M1034">
        <v>0</v>
      </c>
      <c r="N1034">
        <f t="shared" si="32"/>
        <v>2</v>
      </c>
      <c r="O1034">
        <f t="shared" si="33"/>
        <v>0</v>
      </c>
    </row>
    <row r="1035" spans="1:16" x14ac:dyDescent="0.2">
      <c r="A1035" s="6">
        <v>45811</v>
      </c>
      <c r="B1035" s="7">
        <v>2</v>
      </c>
      <c r="C1035" s="7" t="s">
        <v>16</v>
      </c>
      <c r="D1035" s="8">
        <v>0.40972222222222221</v>
      </c>
      <c r="E1035" s="7">
        <v>21535.64</v>
      </c>
      <c r="F1035" s="8">
        <v>0.41041666666666665</v>
      </c>
      <c r="G1035" s="7">
        <v>21520.57</v>
      </c>
      <c r="H1035" s="7">
        <v>21520.57</v>
      </c>
      <c r="I1035" s="7">
        <v>21573.33</v>
      </c>
      <c r="J1035" s="7" t="s">
        <v>15</v>
      </c>
      <c r="K1035" s="7">
        <v>-15.07</v>
      </c>
      <c r="L1035" s="10">
        <v>-1</v>
      </c>
      <c r="M1035" s="7">
        <v>0</v>
      </c>
      <c r="N1035" s="7">
        <f t="shared" si="32"/>
        <v>3</v>
      </c>
      <c r="O1035" s="7">
        <f t="shared" si="33"/>
        <v>0</v>
      </c>
      <c r="P1035" s="7" t="s">
        <v>21</v>
      </c>
    </row>
    <row r="1036" spans="1:16" x14ac:dyDescent="0.2">
      <c r="A1036" s="6">
        <v>45811</v>
      </c>
      <c r="B1036" s="7">
        <v>2</v>
      </c>
      <c r="C1036" s="7" t="s">
        <v>16</v>
      </c>
      <c r="D1036" s="8">
        <v>0.4375</v>
      </c>
      <c r="E1036" s="7">
        <v>21575.8</v>
      </c>
      <c r="F1036" s="8">
        <v>0.43819444444444444</v>
      </c>
      <c r="G1036" s="7">
        <v>21560.7</v>
      </c>
      <c r="H1036" s="7">
        <v>21560.7</v>
      </c>
      <c r="I1036" s="7">
        <v>21613.56</v>
      </c>
      <c r="J1036" s="7" t="s">
        <v>15</v>
      </c>
      <c r="K1036" s="7">
        <v>-15.1</v>
      </c>
      <c r="L1036" s="10">
        <v>-1</v>
      </c>
      <c r="M1036" s="7">
        <v>0</v>
      </c>
      <c r="N1036" s="7">
        <f t="shared" si="32"/>
        <v>4</v>
      </c>
      <c r="O1036" s="7">
        <f t="shared" si="33"/>
        <v>0</v>
      </c>
      <c r="P1036" s="7"/>
    </row>
    <row r="1037" spans="1:16" x14ac:dyDescent="0.2">
      <c r="A1037" s="6">
        <v>45811</v>
      </c>
      <c r="B1037" s="7">
        <v>2</v>
      </c>
      <c r="C1037" s="7" t="s">
        <v>16</v>
      </c>
      <c r="D1037" s="8">
        <v>0.45208333333333334</v>
      </c>
      <c r="E1037" s="7">
        <v>21589</v>
      </c>
      <c r="F1037" s="8">
        <v>0.45833333333333331</v>
      </c>
      <c r="G1037" s="7">
        <v>21626.78</v>
      </c>
      <c r="H1037" s="7">
        <v>21573.89</v>
      </c>
      <c r="I1037" s="7">
        <v>21626.78</v>
      </c>
      <c r="J1037" s="7" t="s">
        <v>14</v>
      </c>
      <c r="K1037" s="7">
        <v>37.78</v>
      </c>
      <c r="L1037" s="10">
        <v>2.5</v>
      </c>
      <c r="M1037" s="7">
        <v>1</v>
      </c>
      <c r="N1037" s="7">
        <f t="shared" si="32"/>
        <v>0</v>
      </c>
      <c r="O1037" s="7">
        <f t="shared" si="33"/>
        <v>1</v>
      </c>
      <c r="P1037" s="7"/>
    </row>
    <row r="1038" spans="1:16" x14ac:dyDescent="0.2">
      <c r="A1038" s="6">
        <v>45813</v>
      </c>
      <c r="B1038" s="7">
        <v>4</v>
      </c>
      <c r="C1038" s="7" t="s">
        <v>13</v>
      </c>
      <c r="D1038" s="8">
        <v>0.40277777777777779</v>
      </c>
      <c r="E1038" s="7">
        <v>21734.13</v>
      </c>
      <c r="F1038" s="8">
        <v>0.40347222222222223</v>
      </c>
      <c r="G1038" s="7">
        <v>21749.35</v>
      </c>
      <c r="H1038" s="7">
        <v>21749.35</v>
      </c>
      <c r="I1038" s="7">
        <v>21696.1</v>
      </c>
      <c r="J1038" s="7" t="s">
        <v>15</v>
      </c>
      <c r="K1038" s="7">
        <v>-15.21</v>
      </c>
      <c r="L1038" s="10">
        <v>-1</v>
      </c>
      <c r="M1038" s="7">
        <v>0</v>
      </c>
      <c r="N1038" s="7">
        <f t="shared" si="32"/>
        <v>1</v>
      </c>
      <c r="O1038" s="7">
        <f t="shared" si="33"/>
        <v>0</v>
      </c>
    </row>
    <row r="1039" spans="1:16" x14ac:dyDescent="0.2">
      <c r="A1039" s="6">
        <v>45813</v>
      </c>
      <c r="B1039" s="7">
        <v>4</v>
      </c>
      <c r="C1039" s="7" t="s">
        <v>13</v>
      </c>
      <c r="D1039" s="8">
        <v>0.42986111111111114</v>
      </c>
      <c r="E1039" s="7">
        <v>21684.05</v>
      </c>
      <c r="F1039" s="8">
        <v>0.43055555555555558</v>
      </c>
      <c r="G1039" s="7">
        <v>21699.23</v>
      </c>
      <c r="H1039" s="7">
        <v>21699.23</v>
      </c>
      <c r="I1039" s="7">
        <v>21646.1</v>
      </c>
      <c r="J1039" s="7" t="s">
        <v>15</v>
      </c>
      <c r="K1039" s="7">
        <v>-15.18</v>
      </c>
      <c r="L1039" s="10">
        <v>-1</v>
      </c>
      <c r="M1039" s="7">
        <v>0</v>
      </c>
      <c r="N1039" s="7">
        <f t="shared" si="32"/>
        <v>2</v>
      </c>
      <c r="O1039" s="7">
        <f t="shared" si="33"/>
        <v>0</v>
      </c>
    </row>
    <row r="1040" spans="1:16" x14ac:dyDescent="0.2">
      <c r="A1040" s="6">
        <v>45813</v>
      </c>
      <c r="B1040" s="7">
        <v>4</v>
      </c>
      <c r="C1040" s="7" t="s">
        <v>16</v>
      </c>
      <c r="D1040" s="8">
        <v>0.4375</v>
      </c>
      <c r="E1040" s="7">
        <v>21753.74</v>
      </c>
      <c r="F1040" s="8">
        <v>0.43819444444444444</v>
      </c>
      <c r="G1040" s="7">
        <v>21738.51</v>
      </c>
      <c r="H1040" s="7">
        <v>21738.51</v>
      </c>
      <c r="I1040" s="7">
        <v>21791.81</v>
      </c>
      <c r="J1040" s="7" t="s">
        <v>15</v>
      </c>
      <c r="K1040" s="7">
        <v>-15.23</v>
      </c>
      <c r="L1040" s="10">
        <v>-1</v>
      </c>
      <c r="M1040" s="7">
        <v>0</v>
      </c>
      <c r="N1040" s="7">
        <f t="shared" si="32"/>
        <v>3</v>
      </c>
      <c r="O1040" s="7">
        <f t="shared" si="33"/>
        <v>0</v>
      </c>
    </row>
    <row r="1041" spans="1:15" x14ac:dyDescent="0.2">
      <c r="A1041" s="6">
        <v>45814</v>
      </c>
      <c r="B1041" s="7">
        <v>5</v>
      </c>
      <c r="C1041" s="7" t="s">
        <v>16</v>
      </c>
      <c r="D1041" s="8">
        <v>0.40763888888888888</v>
      </c>
      <c r="E1041" s="7">
        <v>21811.69</v>
      </c>
      <c r="F1041" s="8">
        <v>0.41319444444444442</v>
      </c>
      <c r="G1041" s="7">
        <v>21796.42</v>
      </c>
      <c r="H1041" s="7">
        <v>21796.42</v>
      </c>
      <c r="I1041" s="7">
        <v>21849.86</v>
      </c>
      <c r="J1041" s="7" t="s">
        <v>15</v>
      </c>
      <c r="K1041" s="7">
        <v>-15.27</v>
      </c>
      <c r="L1041" s="10">
        <v>-1</v>
      </c>
      <c r="M1041" s="7">
        <v>0</v>
      </c>
      <c r="N1041" s="7">
        <f t="shared" si="32"/>
        <v>4</v>
      </c>
      <c r="O1041" s="7">
        <f t="shared" si="33"/>
        <v>0</v>
      </c>
    </row>
    <row r="1042" spans="1:15" x14ac:dyDescent="0.2">
      <c r="A1042" s="6">
        <v>45814</v>
      </c>
      <c r="B1042" s="7">
        <v>5</v>
      </c>
      <c r="C1042" s="7" t="s">
        <v>13</v>
      </c>
      <c r="D1042" s="8">
        <v>0.43958333333333333</v>
      </c>
      <c r="E1042" s="7">
        <v>21756.3</v>
      </c>
      <c r="F1042" s="8">
        <v>0.44097222222222221</v>
      </c>
      <c r="G1042" s="7">
        <v>21771.53</v>
      </c>
      <c r="H1042" s="7">
        <v>21771.53</v>
      </c>
      <c r="I1042" s="7">
        <v>21718.22</v>
      </c>
      <c r="J1042" s="7" t="s">
        <v>15</v>
      </c>
      <c r="K1042" s="7">
        <v>-15.23</v>
      </c>
      <c r="L1042" s="10">
        <v>-1</v>
      </c>
      <c r="M1042" s="7">
        <v>0</v>
      </c>
      <c r="N1042" s="7">
        <f t="shared" si="32"/>
        <v>5</v>
      </c>
      <c r="O1042" s="7">
        <f t="shared" si="33"/>
        <v>0</v>
      </c>
    </row>
    <row r="1043" spans="1:15" x14ac:dyDescent="0.2">
      <c r="A1043" s="6">
        <v>45814</v>
      </c>
      <c r="B1043" s="7">
        <v>5</v>
      </c>
      <c r="C1043" s="7" t="s">
        <v>16</v>
      </c>
      <c r="D1043" s="8">
        <v>0.45208333333333334</v>
      </c>
      <c r="E1043" s="7">
        <v>21800.880000000001</v>
      </c>
      <c r="F1043" s="8">
        <v>0.45624999999999999</v>
      </c>
      <c r="G1043" s="7">
        <v>21785.62</v>
      </c>
      <c r="H1043" s="7">
        <v>21785.62</v>
      </c>
      <c r="I1043" s="7">
        <v>21839.03</v>
      </c>
      <c r="J1043" s="7" t="s">
        <v>15</v>
      </c>
      <c r="K1043" s="7">
        <v>-15.26</v>
      </c>
      <c r="L1043" s="10">
        <v>-1</v>
      </c>
      <c r="M1043" s="7">
        <v>0</v>
      </c>
      <c r="N1043" s="7">
        <f t="shared" si="32"/>
        <v>6</v>
      </c>
      <c r="O1043" s="7">
        <f t="shared" si="33"/>
        <v>0</v>
      </c>
    </row>
    <row r="1044" spans="1:15" x14ac:dyDescent="0.2">
      <c r="A1044" s="6">
        <v>45817</v>
      </c>
      <c r="B1044" s="7">
        <v>1</v>
      </c>
      <c r="C1044" s="7" t="s">
        <v>13</v>
      </c>
      <c r="D1044" s="8">
        <v>0.40277777777777779</v>
      </c>
      <c r="E1044" s="7">
        <v>21738.58</v>
      </c>
      <c r="F1044" s="8">
        <v>0.40347222222222223</v>
      </c>
      <c r="G1044" s="7">
        <v>21753.79</v>
      </c>
      <c r="H1044" s="7">
        <v>21753.79</v>
      </c>
      <c r="I1044" s="7">
        <v>21700.53</v>
      </c>
      <c r="J1044" s="7" t="s">
        <v>15</v>
      </c>
      <c r="K1044" s="7">
        <v>-15.22</v>
      </c>
      <c r="L1044" s="10">
        <v>-1</v>
      </c>
      <c r="M1044" s="7">
        <v>0</v>
      </c>
      <c r="N1044" s="7">
        <f t="shared" si="32"/>
        <v>7</v>
      </c>
      <c r="O1044" s="7">
        <f t="shared" si="33"/>
        <v>0</v>
      </c>
    </row>
    <row r="1045" spans="1:15" x14ac:dyDescent="0.2">
      <c r="A1045" s="6">
        <v>45817</v>
      </c>
      <c r="B1045" s="7">
        <v>1</v>
      </c>
      <c r="C1045" s="7" t="s">
        <v>16</v>
      </c>
      <c r="D1045" s="8">
        <v>0.42708333333333331</v>
      </c>
      <c r="E1045" s="7">
        <v>21813</v>
      </c>
      <c r="F1045" s="8">
        <v>0.43888888888888888</v>
      </c>
      <c r="G1045" s="7">
        <v>21851.17</v>
      </c>
      <c r="H1045" s="7">
        <v>21797.73</v>
      </c>
      <c r="I1045" s="7">
        <v>21851.17</v>
      </c>
      <c r="J1045" s="7" t="s">
        <v>14</v>
      </c>
      <c r="K1045" s="7">
        <v>38.17</v>
      </c>
      <c r="L1045" s="10">
        <v>2.5</v>
      </c>
      <c r="M1045" s="7">
        <v>1</v>
      </c>
      <c r="N1045" s="7">
        <f t="shared" si="32"/>
        <v>0</v>
      </c>
      <c r="O1045" s="7">
        <f t="shared" si="33"/>
        <v>1</v>
      </c>
    </row>
    <row r="1046" spans="1:15" x14ac:dyDescent="0.2">
      <c r="A1046" s="6">
        <v>45817</v>
      </c>
      <c r="B1046" s="7">
        <v>1</v>
      </c>
      <c r="C1046" s="7" t="s">
        <v>13</v>
      </c>
      <c r="D1046" s="8">
        <v>0.45694444444444443</v>
      </c>
      <c r="E1046" s="7">
        <v>21814.25</v>
      </c>
      <c r="F1046" s="8">
        <v>0.46041666666666664</v>
      </c>
      <c r="G1046" s="7">
        <v>21829.52</v>
      </c>
      <c r="H1046" s="7">
        <v>21829.52</v>
      </c>
      <c r="I1046" s="7">
        <v>21776.07</v>
      </c>
      <c r="J1046" s="7" t="s">
        <v>15</v>
      </c>
      <c r="K1046" s="7">
        <v>-15.27</v>
      </c>
      <c r="L1046" s="10">
        <v>-1</v>
      </c>
      <c r="M1046" s="7">
        <v>0</v>
      </c>
      <c r="N1046" s="7">
        <f t="shared" si="32"/>
        <v>1</v>
      </c>
      <c r="O1046" s="7">
        <f t="shared" si="33"/>
        <v>0</v>
      </c>
    </row>
    <row r="1047" spans="1:15" x14ac:dyDescent="0.2">
      <c r="A1047" s="6">
        <v>45818</v>
      </c>
      <c r="B1047" s="7">
        <v>2</v>
      </c>
      <c r="C1047" s="7" t="s">
        <v>16</v>
      </c>
      <c r="D1047" s="8">
        <v>0.41180555555555554</v>
      </c>
      <c r="E1047" s="7">
        <v>21850.560000000001</v>
      </c>
      <c r="F1047" s="8">
        <v>0.41249999999999998</v>
      </c>
      <c r="G1047" s="7">
        <v>21835.27</v>
      </c>
      <c r="H1047" s="7">
        <v>21835.27</v>
      </c>
      <c r="I1047" s="7">
        <v>21888.799999999999</v>
      </c>
      <c r="J1047" s="7" t="s">
        <v>15</v>
      </c>
      <c r="K1047" s="7">
        <v>-15.3</v>
      </c>
      <c r="L1047" s="10">
        <v>-1</v>
      </c>
      <c r="M1047" s="7">
        <v>0</v>
      </c>
      <c r="N1047" s="7">
        <f t="shared" si="32"/>
        <v>2</v>
      </c>
      <c r="O1047" s="7">
        <f t="shared" si="33"/>
        <v>0</v>
      </c>
    </row>
    <row r="1048" spans="1:15" x14ac:dyDescent="0.2">
      <c r="A1048" s="6">
        <v>45818</v>
      </c>
      <c r="B1048" s="7">
        <v>2</v>
      </c>
      <c r="C1048" s="7" t="s">
        <v>16</v>
      </c>
      <c r="D1048" s="8">
        <v>0.4284722222222222</v>
      </c>
      <c r="E1048" s="7">
        <v>21849.43</v>
      </c>
      <c r="F1048" s="8">
        <v>0.4548611111111111</v>
      </c>
      <c r="G1048" s="7">
        <v>21834.14</v>
      </c>
      <c r="H1048" s="7">
        <v>21834.14</v>
      </c>
      <c r="I1048" s="7">
        <v>21887.67</v>
      </c>
      <c r="J1048" s="7" t="s">
        <v>15</v>
      </c>
      <c r="K1048" s="7">
        <v>-15.29</v>
      </c>
      <c r="L1048" s="10">
        <v>-1</v>
      </c>
      <c r="M1048" s="7">
        <v>0</v>
      </c>
      <c r="N1048" s="7">
        <f t="shared" si="32"/>
        <v>3</v>
      </c>
      <c r="O1048" s="7">
        <f t="shared" si="33"/>
        <v>0</v>
      </c>
    </row>
    <row r="1049" spans="1:15" x14ac:dyDescent="0.2">
      <c r="A1049" s="6">
        <v>45819</v>
      </c>
      <c r="B1049" s="7">
        <v>3</v>
      </c>
      <c r="C1049" s="7" t="s">
        <v>13</v>
      </c>
      <c r="D1049" s="8">
        <v>0.4</v>
      </c>
      <c r="E1049" s="7">
        <v>21955.5</v>
      </c>
      <c r="F1049" s="8">
        <v>0.40138888888888891</v>
      </c>
      <c r="G1049" s="7">
        <v>21970.87</v>
      </c>
      <c r="H1049" s="7">
        <v>21970.87</v>
      </c>
      <c r="I1049" s="7">
        <v>21917.08</v>
      </c>
      <c r="J1049" s="7" t="s">
        <v>15</v>
      </c>
      <c r="K1049" s="7">
        <v>-15.37</v>
      </c>
      <c r="L1049" s="10">
        <v>-1</v>
      </c>
      <c r="M1049" s="7">
        <v>0</v>
      </c>
      <c r="N1049" s="7">
        <f t="shared" si="32"/>
        <v>4</v>
      </c>
      <c r="O1049" s="7">
        <f t="shared" si="33"/>
        <v>0</v>
      </c>
    </row>
    <row r="1050" spans="1:15" x14ac:dyDescent="0.2">
      <c r="A1050" s="6">
        <v>45819</v>
      </c>
      <c r="B1050" s="7">
        <v>3</v>
      </c>
      <c r="C1050" s="7" t="s">
        <v>16</v>
      </c>
      <c r="D1050" s="8">
        <v>0.42708333333333331</v>
      </c>
      <c r="E1050" s="7">
        <v>21987.51</v>
      </c>
      <c r="F1050" s="8">
        <v>0.44027777777777777</v>
      </c>
      <c r="G1050" s="7">
        <v>22025.99</v>
      </c>
      <c r="H1050" s="7">
        <v>21972.12</v>
      </c>
      <c r="I1050" s="7">
        <v>22025.99</v>
      </c>
      <c r="J1050" s="7" t="s">
        <v>14</v>
      </c>
      <c r="K1050" s="7">
        <v>38.479999999999997</v>
      </c>
      <c r="L1050" s="10">
        <v>2.5</v>
      </c>
      <c r="M1050" s="7">
        <v>1</v>
      </c>
      <c r="N1050" s="7">
        <f t="shared" si="32"/>
        <v>0</v>
      </c>
      <c r="O1050" s="7">
        <f t="shared" si="33"/>
        <v>1</v>
      </c>
    </row>
    <row r="1051" spans="1:15" x14ac:dyDescent="0.2">
      <c r="A1051" s="6">
        <v>45820</v>
      </c>
      <c r="B1051" s="7">
        <v>4</v>
      </c>
      <c r="C1051" s="7" t="s">
        <v>16</v>
      </c>
      <c r="D1051" s="8">
        <v>0.40486111111111112</v>
      </c>
      <c r="E1051" s="7">
        <v>21845.65</v>
      </c>
      <c r="F1051" s="8">
        <v>0.41319444444444442</v>
      </c>
      <c r="G1051" s="7">
        <v>21830.35</v>
      </c>
      <c r="H1051" s="7">
        <v>21830.35</v>
      </c>
      <c r="I1051" s="7">
        <v>21883.88</v>
      </c>
      <c r="J1051" s="7" t="s">
        <v>15</v>
      </c>
      <c r="K1051" s="7">
        <v>-15.29</v>
      </c>
      <c r="L1051" s="10">
        <v>-1</v>
      </c>
      <c r="M1051" s="7">
        <v>0</v>
      </c>
      <c r="N1051" s="7">
        <f t="shared" si="32"/>
        <v>1</v>
      </c>
      <c r="O1051" s="7">
        <f t="shared" si="33"/>
        <v>0</v>
      </c>
    </row>
    <row r="1052" spans="1:15" x14ac:dyDescent="0.2">
      <c r="A1052" s="6">
        <v>45820</v>
      </c>
      <c r="B1052" s="7">
        <v>4</v>
      </c>
      <c r="C1052" s="7" t="s">
        <v>16</v>
      </c>
      <c r="D1052" s="8">
        <v>0.42777777777777776</v>
      </c>
      <c r="E1052" s="7">
        <v>21887.75</v>
      </c>
      <c r="F1052" s="8">
        <v>0.45902777777777776</v>
      </c>
      <c r="G1052" s="7">
        <v>21926.05</v>
      </c>
      <c r="H1052" s="7">
        <v>21872.43</v>
      </c>
      <c r="I1052" s="7">
        <v>21926.05</v>
      </c>
      <c r="J1052" s="7" t="s">
        <v>14</v>
      </c>
      <c r="K1052" s="7">
        <v>38.299999999999997</v>
      </c>
      <c r="L1052" s="10">
        <v>2.5</v>
      </c>
      <c r="M1052" s="7">
        <v>1</v>
      </c>
      <c r="N1052" s="7">
        <f t="shared" si="32"/>
        <v>0</v>
      </c>
      <c r="O1052" s="7">
        <f t="shared" si="33"/>
        <v>1</v>
      </c>
    </row>
    <row r="1053" spans="1:15" x14ac:dyDescent="0.2">
      <c r="A1053" s="6">
        <v>45821</v>
      </c>
      <c r="B1053" s="7">
        <v>5</v>
      </c>
      <c r="C1053" s="7" t="s">
        <v>16</v>
      </c>
      <c r="D1053" s="8">
        <v>0.4</v>
      </c>
      <c r="E1053" s="7">
        <v>21730.880000000001</v>
      </c>
      <c r="F1053" s="8">
        <v>0.40069444444444446</v>
      </c>
      <c r="G1053" s="7">
        <v>21715.67</v>
      </c>
      <c r="H1053" s="7">
        <v>21715.67</v>
      </c>
      <c r="I1053" s="7">
        <v>21768.91</v>
      </c>
      <c r="J1053" s="7" t="s">
        <v>15</v>
      </c>
      <c r="K1053" s="7">
        <v>-15.21</v>
      </c>
      <c r="L1053" s="10">
        <v>-1</v>
      </c>
      <c r="M1053" s="7">
        <v>0</v>
      </c>
      <c r="N1053" s="7">
        <f t="shared" si="32"/>
        <v>1</v>
      </c>
      <c r="O1053" s="7">
        <f t="shared" si="33"/>
        <v>0</v>
      </c>
    </row>
    <row r="1054" spans="1:15" x14ac:dyDescent="0.2">
      <c r="A1054" s="6">
        <v>45821</v>
      </c>
      <c r="B1054" s="7">
        <v>5</v>
      </c>
      <c r="C1054" s="7" t="s">
        <v>13</v>
      </c>
      <c r="D1054" s="8">
        <v>0.42638888888888887</v>
      </c>
      <c r="E1054" s="7">
        <v>21684.7</v>
      </c>
      <c r="F1054" s="8">
        <v>0.43055555555555558</v>
      </c>
      <c r="G1054" s="7">
        <v>21646.75</v>
      </c>
      <c r="H1054" s="7">
        <v>21699.88</v>
      </c>
      <c r="I1054" s="7">
        <v>21646.75</v>
      </c>
      <c r="J1054" s="7" t="s">
        <v>14</v>
      </c>
      <c r="K1054" s="7">
        <v>37.950000000000003</v>
      </c>
      <c r="L1054" s="10">
        <v>2.5</v>
      </c>
      <c r="M1054" s="7">
        <v>1</v>
      </c>
      <c r="N1054" s="7">
        <f t="shared" si="32"/>
        <v>0</v>
      </c>
      <c r="O1054" s="7">
        <f t="shared" si="33"/>
        <v>1</v>
      </c>
    </row>
    <row r="1055" spans="1:15" x14ac:dyDescent="0.2">
      <c r="A1055" s="6">
        <v>45821</v>
      </c>
      <c r="B1055" s="7">
        <v>5</v>
      </c>
      <c r="C1055" s="7" t="s">
        <v>16</v>
      </c>
      <c r="D1055" s="8">
        <v>0.45624999999999999</v>
      </c>
      <c r="E1055" s="7">
        <v>21724.74</v>
      </c>
      <c r="F1055" s="8">
        <v>0.47361111111111109</v>
      </c>
      <c r="G1055" s="7">
        <v>21762.76</v>
      </c>
      <c r="H1055" s="7">
        <v>21709.53</v>
      </c>
      <c r="I1055" s="7">
        <v>21762.76</v>
      </c>
      <c r="J1055" s="7" t="s">
        <v>14</v>
      </c>
      <c r="K1055" s="7">
        <v>38.020000000000003</v>
      </c>
      <c r="L1055" s="10">
        <v>2.5</v>
      </c>
      <c r="M1055" s="7">
        <v>1</v>
      </c>
      <c r="N1055" s="7">
        <f t="shared" si="32"/>
        <v>0</v>
      </c>
      <c r="O1055" s="7">
        <f t="shared" si="33"/>
        <v>2</v>
      </c>
    </row>
    <row r="1056" spans="1:15" x14ac:dyDescent="0.2">
      <c r="A1056" s="6">
        <v>45824</v>
      </c>
      <c r="B1056" s="7">
        <v>1</v>
      </c>
      <c r="C1056" s="7" t="s">
        <v>13</v>
      </c>
      <c r="D1056" s="8">
        <v>0.39583333333333331</v>
      </c>
      <c r="E1056" s="7">
        <v>21794.75</v>
      </c>
      <c r="F1056" s="8">
        <v>0.39652777777777776</v>
      </c>
      <c r="G1056" s="7">
        <v>21810</v>
      </c>
      <c r="H1056" s="7">
        <v>21810</v>
      </c>
      <c r="I1056" s="7">
        <v>21756.61</v>
      </c>
      <c r="J1056" s="7" t="s">
        <v>15</v>
      </c>
      <c r="K1056" s="7">
        <v>-15.26</v>
      </c>
      <c r="L1056" s="10">
        <v>-1</v>
      </c>
      <c r="M1056" s="7">
        <v>0</v>
      </c>
      <c r="N1056" s="7">
        <f t="shared" si="32"/>
        <v>1</v>
      </c>
      <c r="O1056" s="7">
        <f t="shared" si="33"/>
        <v>0</v>
      </c>
    </row>
    <row r="1057" spans="1:16" x14ac:dyDescent="0.2">
      <c r="A1057" s="6">
        <v>45824</v>
      </c>
      <c r="B1057" s="7">
        <v>1</v>
      </c>
      <c r="C1057" s="7" t="s">
        <v>16</v>
      </c>
      <c r="D1057" s="8">
        <v>0.40138888888888891</v>
      </c>
      <c r="E1057" s="7">
        <v>21833.439999999999</v>
      </c>
      <c r="F1057" s="8">
        <v>0.40625</v>
      </c>
      <c r="G1057" s="7">
        <v>21871.65</v>
      </c>
      <c r="H1057" s="7">
        <v>21818.15</v>
      </c>
      <c r="I1057" s="7">
        <v>21871.65</v>
      </c>
      <c r="J1057" s="7" t="s">
        <v>14</v>
      </c>
      <c r="K1057" s="7">
        <v>38.21</v>
      </c>
      <c r="L1057" s="10">
        <v>2.5</v>
      </c>
      <c r="M1057" s="7">
        <v>1</v>
      </c>
      <c r="N1057" s="7">
        <f t="shared" si="32"/>
        <v>0</v>
      </c>
      <c r="O1057" s="7">
        <f t="shared" si="33"/>
        <v>1</v>
      </c>
    </row>
    <row r="1058" spans="1:16" x14ac:dyDescent="0.2">
      <c r="A1058" s="6">
        <v>45825</v>
      </c>
      <c r="B1058" s="7">
        <v>2</v>
      </c>
      <c r="C1058" s="7" t="s">
        <v>16</v>
      </c>
      <c r="D1058" s="8">
        <v>0.39791666666666664</v>
      </c>
      <c r="E1058" s="7">
        <v>21844.3</v>
      </c>
      <c r="F1058" s="8">
        <v>0.40416666666666667</v>
      </c>
      <c r="G1058" s="7">
        <v>21829.01</v>
      </c>
      <c r="H1058" s="7">
        <v>21829.01</v>
      </c>
      <c r="I1058" s="7">
        <v>21882.53</v>
      </c>
      <c r="J1058" s="7" t="s">
        <v>15</v>
      </c>
      <c r="K1058" s="7">
        <v>-15.29</v>
      </c>
      <c r="L1058" s="10">
        <v>-1</v>
      </c>
      <c r="M1058" s="7">
        <v>0</v>
      </c>
      <c r="N1058" s="7">
        <f t="shared" si="32"/>
        <v>1</v>
      </c>
      <c r="O1058" s="7">
        <f t="shared" si="33"/>
        <v>0</v>
      </c>
    </row>
    <row r="1059" spans="1:16" x14ac:dyDescent="0.2">
      <c r="A1059" s="6">
        <v>45825</v>
      </c>
      <c r="B1059" s="7">
        <v>2</v>
      </c>
      <c r="C1059" s="7" t="s">
        <v>16</v>
      </c>
      <c r="D1059" s="8">
        <v>0.41736111111111113</v>
      </c>
      <c r="E1059" s="7">
        <v>21852.23</v>
      </c>
      <c r="F1059" s="8">
        <v>0.41944444444444445</v>
      </c>
      <c r="G1059" s="7">
        <v>21836.93</v>
      </c>
      <c r="H1059" s="7">
        <v>21836.93</v>
      </c>
      <c r="I1059" s="7">
        <v>21890.47</v>
      </c>
      <c r="J1059" s="7" t="s">
        <v>15</v>
      </c>
      <c r="K1059" s="7">
        <v>-15.3</v>
      </c>
      <c r="L1059" s="10">
        <v>-1</v>
      </c>
      <c r="M1059" s="7">
        <v>0</v>
      </c>
      <c r="N1059" s="7">
        <f t="shared" si="32"/>
        <v>2</v>
      </c>
      <c r="O1059" s="7">
        <f t="shared" si="33"/>
        <v>0</v>
      </c>
    </row>
    <row r="1060" spans="1:16" x14ac:dyDescent="0.2">
      <c r="A1060" s="6">
        <v>45827</v>
      </c>
      <c r="B1060" s="7">
        <v>4</v>
      </c>
      <c r="C1060" s="7" t="s">
        <v>16</v>
      </c>
      <c r="D1060" s="8">
        <v>0.39583333333333331</v>
      </c>
      <c r="E1060" s="7">
        <v>21544.97</v>
      </c>
      <c r="F1060" s="8">
        <v>0.3972222222222222</v>
      </c>
      <c r="G1060" s="7">
        <v>21529.88</v>
      </c>
      <c r="H1060" s="7">
        <v>21529.88</v>
      </c>
      <c r="I1060" s="7">
        <v>21582.67</v>
      </c>
      <c r="J1060" s="7" t="s">
        <v>15</v>
      </c>
      <c r="K1060" s="7">
        <v>-15.08</v>
      </c>
      <c r="L1060" s="10">
        <v>-1</v>
      </c>
      <c r="M1060" s="7">
        <v>0</v>
      </c>
      <c r="N1060" s="7">
        <f t="shared" si="32"/>
        <v>3</v>
      </c>
      <c r="O1060" s="7">
        <f t="shared" si="33"/>
        <v>0</v>
      </c>
    </row>
    <row r="1061" spans="1:16" x14ac:dyDescent="0.2">
      <c r="A1061" s="6">
        <v>45827</v>
      </c>
      <c r="B1061" s="7">
        <v>4</v>
      </c>
      <c r="C1061" s="7" t="s">
        <v>13</v>
      </c>
      <c r="D1061" s="8">
        <v>0.40486111111111112</v>
      </c>
      <c r="E1061" s="7">
        <v>21495.599999999999</v>
      </c>
      <c r="F1061" s="8">
        <v>0.40763888888888888</v>
      </c>
      <c r="G1061" s="7">
        <v>21457.98</v>
      </c>
      <c r="H1061" s="7">
        <v>21510.65</v>
      </c>
      <c r="I1061" s="7">
        <v>21457.98</v>
      </c>
      <c r="J1061" s="7" t="s">
        <v>14</v>
      </c>
      <c r="K1061" s="7">
        <v>37.619999999999997</v>
      </c>
      <c r="L1061" s="10">
        <v>2.5</v>
      </c>
      <c r="M1061" s="7">
        <v>1</v>
      </c>
      <c r="N1061" s="7">
        <f t="shared" si="32"/>
        <v>0</v>
      </c>
      <c r="O1061" s="7">
        <f t="shared" si="33"/>
        <v>1</v>
      </c>
    </row>
    <row r="1062" spans="1:16" x14ac:dyDescent="0.2">
      <c r="A1062" s="6">
        <v>45827</v>
      </c>
      <c r="B1062" s="7">
        <v>4</v>
      </c>
      <c r="C1062" s="7" t="s">
        <v>16</v>
      </c>
      <c r="D1062" s="8">
        <v>0.43611111111111112</v>
      </c>
      <c r="E1062" s="7">
        <v>21484.98</v>
      </c>
      <c r="F1062" s="8">
        <v>0.43819444444444444</v>
      </c>
      <c r="G1062" s="7">
        <v>21469.94</v>
      </c>
      <c r="H1062" s="7">
        <v>21469.94</v>
      </c>
      <c r="I1062" s="7">
        <v>21522.57</v>
      </c>
      <c r="J1062" s="7" t="s">
        <v>15</v>
      </c>
      <c r="K1062" s="7">
        <v>-15.04</v>
      </c>
      <c r="L1062" s="10">
        <v>-1</v>
      </c>
      <c r="M1062" s="7">
        <v>0</v>
      </c>
      <c r="N1062" s="7">
        <f t="shared" si="32"/>
        <v>1</v>
      </c>
      <c r="O1062" s="7">
        <f t="shared" si="33"/>
        <v>0</v>
      </c>
    </row>
    <row r="1063" spans="1:16" x14ac:dyDescent="0.2">
      <c r="A1063" s="6">
        <v>45828</v>
      </c>
      <c r="B1063" s="7">
        <v>5</v>
      </c>
      <c r="C1063" s="7" t="s">
        <v>16</v>
      </c>
      <c r="D1063" s="8">
        <v>0.39652777777777776</v>
      </c>
      <c r="E1063" s="7">
        <v>21849.45</v>
      </c>
      <c r="F1063" s="8">
        <v>0.4</v>
      </c>
      <c r="G1063" s="7">
        <v>21887.69</v>
      </c>
      <c r="H1063" s="7">
        <v>21834.16</v>
      </c>
      <c r="I1063" s="7">
        <v>21887.69</v>
      </c>
      <c r="J1063" s="7" t="s">
        <v>14</v>
      </c>
      <c r="K1063" s="7">
        <v>38.24</v>
      </c>
      <c r="L1063" s="10">
        <v>2.5</v>
      </c>
      <c r="M1063" s="7">
        <v>1</v>
      </c>
      <c r="N1063" s="7">
        <f t="shared" si="32"/>
        <v>0</v>
      </c>
      <c r="O1063" s="7">
        <f t="shared" si="33"/>
        <v>1</v>
      </c>
    </row>
    <row r="1064" spans="1:16" x14ac:dyDescent="0.2">
      <c r="A1064" s="6">
        <v>45828</v>
      </c>
      <c r="B1064" s="7">
        <v>5</v>
      </c>
      <c r="C1064" s="7" t="s">
        <v>13</v>
      </c>
      <c r="D1064" s="8">
        <v>0.41666666666666669</v>
      </c>
      <c r="E1064" s="7">
        <v>21800.35</v>
      </c>
      <c r="F1064" s="8">
        <v>0.42222222222222222</v>
      </c>
      <c r="G1064" s="7">
        <v>21762.2</v>
      </c>
      <c r="H1064" s="7">
        <v>21815.61</v>
      </c>
      <c r="I1064" s="7">
        <v>21762.2</v>
      </c>
      <c r="J1064" s="7" t="s">
        <v>14</v>
      </c>
      <c r="K1064" s="7">
        <v>38.15</v>
      </c>
      <c r="L1064" s="10">
        <v>2.5</v>
      </c>
      <c r="M1064" s="7">
        <v>1</v>
      </c>
      <c r="N1064" s="7">
        <f t="shared" si="32"/>
        <v>0</v>
      </c>
      <c r="O1064" s="7">
        <f t="shared" si="33"/>
        <v>2</v>
      </c>
    </row>
    <row r="1065" spans="1:16" x14ac:dyDescent="0.2">
      <c r="A1065" s="6">
        <v>45834</v>
      </c>
      <c r="B1065" s="7">
        <v>4</v>
      </c>
      <c r="C1065" s="7" t="s">
        <v>13</v>
      </c>
      <c r="D1065" s="8">
        <v>0.41111111111111109</v>
      </c>
      <c r="E1065" s="7">
        <v>22272.06</v>
      </c>
      <c r="F1065" s="8">
        <v>0.41249999999999998</v>
      </c>
      <c r="G1065" s="7">
        <v>22287.65</v>
      </c>
      <c r="H1065" s="7">
        <v>22287.65</v>
      </c>
      <c r="I1065" s="7">
        <v>22233.08</v>
      </c>
      <c r="J1065" s="7" t="s">
        <v>15</v>
      </c>
      <c r="K1065" s="7">
        <v>-15.59</v>
      </c>
      <c r="L1065" s="10">
        <v>-1</v>
      </c>
      <c r="M1065" s="7">
        <v>0</v>
      </c>
      <c r="N1065" s="7">
        <f t="shared" si="32"/>
        <v>1</v>
      </c>
      <c r="O1065" s="7">
        <f t="shared" si="33"/>
        <v>0</v>
      </c>
    </row>
    <row r="1066" spans="1:16" x14ac:dyDescent="0.2">
      <c r="A1066" s="6">
        <v>45834</v>
      </c>
      <c r="B1066" s="7">
        <v>4</v>
      </c>
      <c r="C1066" s="7" t="s">
        <v>16</v>
      </c>
      <c r="D1066" s="8">
        <v>0.43402777777777779</v>
      </c>
      <c r="E1066" s="7">
        <v>22344.9</v>
      </c>
      <c r="F1066" s="8">
        <v>0.46944444444444444</v>
      </c>
      <c r="G1066" s="7">
        <v>22384.01</v>
      </c>
      <c r="H1066" s="7">
        <v>22329.26</v>
      </c>
      <c r="I1066" s="7">
        <v>22384.01</v>
      </c>
      <c r="J1066" s="7" t="s">
        <v>14</v>
      </c>
      <c r="K1066" s="7">
        <v>39.1</v>
      </c>
      <c r="L1066" s="10">
        <v>2.5</v>
      </c>
      <c r="M1066" s="7">
        <v>1</v>
      </c>
      <c r="N1066" s="7">
        <f t="shared" si="32"/>
        <v>0</v>
      </c>
      <c r="O1066" s="7">
        <f t="shared" si="33"/>
        <v>1</v>
      </c>
    </row>
    <row r="1067" spans="1:16" x14ac:dyDescent="0.2">
      <c r="A1067" s="6">
        <v>45835</v>
      </c>
      <c r="B1067" s="7">
        <v>5</v>
      </c>
      <c r="C1067" s="7" t="s">
        <v>16</v>
      </c>
      <c r="D1067" s="8">
        <v>0.40763888888888888</v>
      </c>
      <c r="E1067" s="7">
        <v>22519.65</v>
      </c>
      <c r="F1067" s="8">
        <v>0.41666666666666669</v>
      </c>
      <c r="G1067" s="7">
        <v>22559.05</v>
      </c>
      <c r="H1067" s="7">
        <v>22503.88</v>
      </c>
      <c r="I1067" s="7">
        <v>22559.05</v>
      </c>
      <c r="J1067" s="7" t="s">
        <v>14</v>
      </c>
      <c r="K1067" s="7">
        <v>39.409999999999997</v>
      </c>
      <c r="L1067" s="10">
        <v>2.5</v>
      </c>
      <c r="M1067" s="7">
        <v>1</v>
      </c>
      <c r="N1067" s="7">
        <f t="shared" si="32"/>
        <v>0</v>
      </c>
      <c r="O1067" s="7">
        <f t="shared" si="33"/>
        <v>2</v>
      </c>
    </row>
    <row r="1068" spans="1:16" x14ac:dyDescent="0.2">
      <c r="A1068" s="6">
        <v>45835</v>
      </c>
      <c r="B1068" s="7">
        <v>5</v>
      </c>
      <c r="C1068" s="7" t="s">
        <v>13</v>
      </c>
      <c r="D1068" s="8">
        <v>0.45763888888888887</v>
      </c>
      <c r="E1068" s="7">
        <v>22543.91</v>
      </c>
      <c r="F1068" s="8">
        <v>0.46250000000000002</v>
      </c>
      <c r="G1068" s="7">
        <v>22559.7</v>
      </c>
      <c r="H1068" s="7">
        <v>22559.7</v>
      </c>
      <c r="I1068" s="7">
        <v>22504.46</v>
      </c>
      <c r="J1068" s="7" t="s">
        <v>15</v>
      </c>
      <c r="K1068" s="7">
        <v>-15.78</v>
      </c>
      <c r="L1068" s="10">
        <v>-1</v>
      </c>
      <c r="M1068" s="7">
        <v>0</v>
      </c>
      <c r="N1068" s="7">
        <f t="shared" si="32"/>
        <v>1</v>
      </c>
      <c r="O1068" s="7">
        <f t="shared" si="33"/>
        <v>0</v>
      </c>
    </row>
    <row r="1069" spans="1:16" x14ac:dyDescent="0.2">
      <c r="A1069" s="6">
        <v>45838</v>
      </c>
      <c r="B1069" s="7">
        <v>1</v>
      </c>
      <c r="C1069" s="7" t="s">
        <v>13</v>
      </c>
      <c r="D1069" s="8">
        <v>0.41111111111111109</v>
      </c>
      <c r="E1069" s="7">
        <v>22589.79</v>
      </c>
      <c r="F1069" s="8">
        <v>0.41319444444444442</v>
      </c>
      <c r="G1069" s="7">
        <v>22605.599999999999</v>
      </c>
      <c r="H1069" s="7">
        <v>22605.599999999999</v>
      </c>
      <c r="I1069" s="7">
        <v>22550.26</v>
      </c>
      <c r="J1069" s="7" t="s">
        <v>15</v>
      </c>
      <c r="K1069" s="7">
        <v>-15.81</v>
      </c>
      <c r="L1069" s="10">
        <v>-1</v>
      </c>
      <c r="M1069" s="7">
        <v>0</v>
      </c>
      <c r="N1069" s="7">
        <f t="shared" si="32"/>
        <v>2</v>
      </c>
      <c r="O1069" s="7">
        <f t="shared" si="33"/>
        <v>0</v>
      </c>
    </row>
    <row r="1070" spans="1:16" x14ac:dyDescent="0.2">
      <c r="A1070" s="6">
        <v>45838</v>
      </c>
      <c r="B1070" s="7">
        <v>1</v>
      </c>
      <c r="C1070" s="7" t="s">
        <v>16</v>
      </c>
      <c r="D1070" s="8">
        <v>0.42708333333333331</v>
      </c>
      <c r="E1070" s="7">
        <v>22623.59</v>
      </c>
      <c r="F1070" s="8">
        <v>0.4284722222222222</v>
      </c>
      <c r="G1070" s="7">
        <v>22607.75</v>
      </c>
      <c r="H1070" s="7">
        <v>22607.75</v>
      </c>
      <c r="I1070" s="7">
        <v>22663.18</v>
      </c>
      <c r="J1070" s="7" t="s">
        <v>15</v>
      </c>
      <c r="K1070" s="7">
        <v>-15.84</v>
      </c>
      <c r="L1070" s="10">
        <v>-1</v>
      </c>
      <c r="M1070" s="7">
        <v>0</v>
      </c>
      <c r="N1070" s="7">
        <f t="shared" si="32"/>
        <v>3</v>
      </c>
      <c r="O1070" s="7">
        <f t="shared" si="33"/>
        <v>0</v>
      </c>
    </row>
    <row r="1071" spans="1:16" x14ac:dyDescent="0.2">
      <c r="A1071" s="6">
        <v>45841</v>
      </c>
      <c r="B1071" s="7">
        <v>4</v>
      </c>
      <c r="C1071" s="7" t="s">
        <v>16</v>
      </c>
      <c r="D1071" s="8">
        <v>0.39583333333333331</v>
      </c>
      <c r="E1071" s="7">
        <v>22736.36</v>
      </c>
      <c r="F1071" s="8">
        <v>0.39652777777777776</v>
      </c>
      <c r="G1071" s="7">
        <v>22776.15</v>
      </c>
      <c r="H1071" s="7">
        <v>22720.45</v>
      </c>
      <c r="I1071" s="7">
        <v>22776.15</v>
      </c>
      <c r="J1071" s="7" t="s">
        <v>14</v>
      </c>
      <c r="K1071" s="7">
        <v>39.79</v>
      </c>
      <c r="L1071" s="10">
        <v>2.5</v>
      </c>
      <c r="M1071" s="7">
        <v>0</v>
      </c>
      <c r="N1071" s="7">
        <f t="shared" si="32"/>
        <v>4</v>
      </c>
      <c r="O1071" s="7">
        <f t="shared" si="33"/>
        <v>0</v>
      </c>
      <c r="P1071" s="7" t="s">
        <v>21</v>
      </c>
    </row>
    <row r="1072" spans="1:16" x14ac:dyDescent="0.2">
      <c r="A1072" s="6">
        <v>45841</v>
      </c>
      <c r="B1072" s="7">
        <v>4</v>
      </c>
      <c r="C1072" s="7" t="s">
        <v>16</v>
      </c>
      <c r="D1072" s="8">
        <v>0.41388888888888886</v>
      </c>
      <c r="E1072" s="7">
        <v>22791.5</v>
      </c>
      <c r="F1072" s="8">
        <v>0.41805555555555557</v>
      </c>
      <c r="G1072" s="7">
        <v>22831.39</v>
      </c>
      <c r="H1072" s="7">
        <v>22775.55</v>
      </c>
      <c r="I1072" s="7">
        <v>22831.39</v>
      </c>
      <c r="J1072" s="7" t="s">
        <v>14</v>
      </c>
      <c r="K1072" s="7">
        <v>39.89</v>
      </c>
      <c r="L1072" s="10">
        <v>2.5</v>
      </c>
      <c r="M1072" s="7">
        <v>1</v>
      </c>
      <c r="N1072" s="7">
        <f t="shared" si="32"/>
        <v>0</v>
      </c>
      <c r="O1072" s="7">
        <f t="shared" si="33"/>
        <v>1</v>
      </c>
      <c r="P1072" s="7"/>
    </row>
    <row r="1073" spans="1:15" x14ac:dyDescent="0.2">
      <c r="A1073" s="6">
        <v>45842</v>
      </c>
      <c r="B1073" s="7">
        <v>5</v>
      </c>
      <c r="C1073" s="7" t="s">
        <v>16</v>
      </c>
      <c r="D1073" s="8">
        <v>0.41458333333333336</v>
      </c>
      <c r="E1073" s="7">
        <v>22724.58</v>
      </c>
      <c r="F1073" s="8">
        <v>0.4152777777777778</v>
      </c>
      <c r="G1073" s="7">
        <v>22708.67</v>
      </c>
      <c r="H1073" s="7">
        <v>22708.67</v>
      </c>
      <c r="I1073" s="7">
        <v>22764.34</v>
      </c>
      <c r="J1073" s="7" t="s">
        <v>15</v>
      </c>
      <c r="K1073" s="7">
        <v>-15.91</v>
      </c>
      <c r="L1073" s="10">
        <v>-1</v>
      </c>
      <c r="M1073" s="7">
        <v>0</v>
      </c>
      <c r="N1073" s="7">
        <f t="shared" si="32"/>
        <v>1</v>
      </c>
      <c r="O1073" s="7">
        <f t="shared" si="33"/>
        <v>0</v>
      </c>
    </row>
    <row r="1074" spans="1:15" x14ac:dyDescent="0.2">
      <c r="A1074" s="6">
        <v>45842</v>
      </c>
      <c r="B1074" s="7">
        <v>5</v>
      </c>
      <c r="C1074" s="7" t="s">
        <v>13</v>
      </c>
      <c r="D1074" s="8">
        <v>0.42638888888888887</v>
      </c>
      <c r="E1074" s="7">
        <v>22708.76</v>
      </c>
      <c r="F1074" s="8">
        <v>0.43611111111111112</v>
      </c>
      <c r="G1074" s="7">
        <v>22724.66</v>
      </c>
      <c r="H1074" s="7">
        <v>22724.66</v>
      </c>
      <c r="I1074" s="7">
        <v>22669.02</v>
      </c>
      <c r="J1074" s="7" t="s">
        <v>15</v>
      </c>
      <c r="K1074" s="7">
        <v>-15.9</v>
      </c>
      <c r="L1074" s="10">
        <v>-1</v>
      </c>
      <c r="M1074" s="7">
        <v>0</v>
      </c>
      <c r="N1074" s="7">
        <f t="shared" si="32"/>
        <v>2</v>
      </c>
      <c r="O1074" s="7">
        <f t="shared" si="33"/>
        <v>0</v>
      </c>
    </row>
    <row r="1075" spans="1:15" x14ac:dyDescent="0.2">
      <c r="A1075" s="6">
        <v>45842</v>
      </c>
      <c r="B1075" s="7">
        <v>5</v>
      </c>
      <c r="C1075" s="7" t="s">
        <v>16</v>
      </c>
      <c r="D1075" s="8">
        <v>0.44305555555555554</v>
      </c>
      <c r="E1075" s="7">
        <v>22736.12</v>
      </c>
      <c r="F1075" s="8">
        <v>0.46875</v>
      </c>
      <c r="G1075" s="7">
        <v>22720.21</v>
      </c>
      <c r="H1075" s="7">
        <v>22720.21</v>
      </c>
      <c r="I1075" s="7">
        <v>22775.91</v>
      </c>
      <c r="J1075" s="7" t="s">
        <v>15</v>
      </c>
      <c r="K1075" s="7">
        <v>-15.92</v>
      </c>
      <c r="L1075" s="10">
        <v>-1</v>
      </c>
      <c r="M1075" s="7">
        <v>0</v>
      </c>
      <c r="N1075" s="7">
        <f t="shared" si="32"/>
        <v>3</v>
      </c>
      <c r="O1075" s="7">
        <f t="shared" si="33"/>
        <v>0</v>
      </c>
    </row>
    <row r="1076" spans="1:15" x14ac:dyDescent="0.2">
      <c r="A1076" s="3">
        <v>45845</v>
      </c>
      <c r="B1076" s="4">
        <v>1</v>
      </c>
      <c r="C1076" s="4" t="s">
        <v>13</v>
      </c>
      <c r="D1076" s="5">
        <v>0.45555555555555555</v>
      </c>
      <c r="E1076" s="4">
        <v>22708.34</v>
      </c>
      <c r="F1076" s="5">
        <v>0.47986111111111113</v>
      </c>
      <c r="G1076" s="4">
        <v>22724.23</v>
      </c>
      <c r="H1076" s="4">
        <v>22724.23</v>
      </c>
      <c r="I1076" s="4">
        <v>22668.6</v>
      </c>
      <c r="J1076" s="4" t="s">
        <v>15</v>
      </c>
      <c r="K1076" s="4">
        <v>-15.9</v>
      </c>
      <c r="L1076" s="11">
        <v>-1</v>
      </c>
      <c r="M1076" s="4">
        <v>0</v>
      </c>
      <c r="N1076" s="4">
        <f t="shared" si="32"/>
        <v>4</v>
      </c>
      <c r="O1076" s="4">
        <f t="shared" si="33"/>
        <v>0</v>
      </c>
    </row>
    <row r="1077" spans="1:15" x14ac:dyDescent="0.2">
      <c r="A1077" s="3">
        <v>45846</v>
      </c>
      <c r="B1077" s="4">
        <v>2</v>
      </c>
      <c r="C1077" s="4" t="s">
        <v>13</v>
      </c>
      <c r="D1077" s="5">
        <v>0.39791666666666664</v>
      </c>
      <c r="E1077" s="4">
        <v>22728.77</v>
      </c>
      <c r="F1077" s="5">
        <v>0.41597222222222224</v>
      </c>
      <c r="G1077" s="4">
        <v>22688.99</v>
      </c>
      <c r="H1077" s="4">
        <v>22744.68</v>
      </c>
      <c r="I1077" s="4">
        <v>22688.99</v>
      </c>
      <c r="J1077" s="4" t="s">
        <v>14</v>
      </c>
      <c r="K1077" s="4">
        <v>39.78</v>
      </c>
      <c r="L1077" s="11">
        <v>2.5</v>
      </c>
      <c r="M1077" s="4">
        <v>1</v>
      </c>
      <c r="N1077" s="4">
        <f t="shared" si="32"/>
        <v>0</v>
      </c>
      <c r="O1077" s="4">
        <f t="shared" si="33"/>
        <v>1</v>
      </c>
    </row>
    <row r="1078" spans="1:15" x14ac:dyDescent="0.2">
      <c r="A1078" s="3">
        <v>45846</v>
      </c>
      <c r="B1078" s="4">
        <v>2</v>
      </c>
      <c r="C1078" s="4" t="s">
        <v>16</v>
      </c>
      <c r="D1078" s="5">
        <v>0.44513888888888886</v>
      </c>
      <c r="E1078" s="4">
        <v>22737.27</v>
      </c>
      <c r="F1078" s="5">
        <v>0.44791666666666669</v>
      </c>
      <c r="G1078" s="4">
        <v>22721.35</v>
      </c>
      <c r="H1078" s="4">
        <v>22721.35</v>
      </c>
      <c r="I1078" s="4">
        <v>22777.06</v>
      </c>
      <c r="J1078" s="4" t="s">
        <v>15</v>
      </c>
      <c r="K1078" s="4">
        <v>-15.92</v>
      </c>
      <c r="L1078" s="11">
        <v>-1</v>
      </c>
      <c r="M1078" s="4">
        <v>0</v>
      </c>
      <c r="N1078" s="4">
        <f t="shared" si="32"/>
        <v>1</v>
      </c>
      <c r="O1078" s="4">
        <f t="shared" si="33"/>
        <v>0</v>
      </c>
    </row>
    <row r="1079" spans="1:15" x14ac:dyDescent="0.2">
      <c r="A1079" s="3">
        <v>45847</v>
      </c>
      <c r="B1079" s="4">
        <v>3</v>
      </c>
      <c r="C1079" s="4" t="s">
        <v>16</v>
      </c>
      <c r="D1079" s="5">
        <v>0.40277777777777779</v>
      </c>
      <c r="E1079" s="4">
        <v>22844.55</v>
      </c>
      <c r="F1079" s="5">
        <v>0.40694444444444444</v>
      </c>
      <c r="G1079" s="4">
        <v>22884.53</v>
      </c>
      <c r="H1079" s="4">
        <v>22828.560000000001</v>
      </c>
      <c r="I1079" s="4">
        <v>22884.53</v>
      </c>
      <c r="J1079" s="4" t="s">
        <v>14</v>
      </c>
      <c r="K1079" s="4">
        <v>39.979999999999997</v>
      </c>
      <c r="L1079" s="11">
        <v>2.5</v>
      </c>
      <c r="M1079" s="4">
        <v>1</v>
      </c>
      <c r="N1079" s="4">
        <f t="shared" si="32"/>
        <v>0</v>
      </c>
      <c r="O1079" s="4">
        <f t="shared" si="33"/>
        <v>1</v>
      </c>
    </row>
    <row r="1080" spans="1:15" x14ac:dyDescent="0.2">
      <c r="A1080" s="3">
        <v>45847</v>
      </c>
      <c r="B1080" s="4">
        <v>3</v>
      </c>
      <c r="C1080" s="4" t="s">
        <v>13</v>
      </c>
      <c r="D1080" s="5">
        <v>0.44305555555555554</v>
      </c>
      <c r="E1080" s="4">
        <v>22796.12</v>
      </c>
      <c r="F1080" s="5">
        <v>0.4513888888888889</v>
      </c>
      <c r="G1080" s="4">
        <v>22756.23</v>
      </c>
      <c r="H1080" s="4">
        <v>22812.080000000002</v>
      </c>
      <c r="I1080" s="4">
        <v>22756.23</v>
      </c>
      <c r="J1080" s="4" t="s">
        <v>14</v>
      </c>
      <c r="K1080" s="4">
        <v>39.89</v>
      </c>
      <c r="L1080" s="11">
        <v>2.5</v>
      </c>
      <c r="M1080" s="4">
        <v>1</v>
      </c>
      <c r="N1080" s="4">
        <f t="shared" si="32"/>
        <v>0</v>
      </c>
      <c r="O1080" s="4">
        <f t="shared" si="33"/>
        <v>2</v>
      </c>
    </row>
    <row r="1081" spans="1:15" x14ac:dyDescent="0.2">
      <c r="A1081" s="3">
        <v>45848</v>
      </c>
      <c r="B1081" s="4">
        <v>4</v>
      </c>
      <c r="C1081" s="4" t="s">
        <v>16</v>
      </c>
      <c r="D1081" s="5">
        <v>0.39583333333333331</v>
      </c>
      <c r="E1081" s="4">
        <v>22882.55</v>
      </c>
      <c r="F1081" s="5">
        <v>0.3972222222222222</v>
      </c>
      <c r="G1081" s="4">
        <v>22866.53</v>
      </c>
      <c r="H1081" s="4">
        <v>22866.53</v>
      </c>
      <c r="I1081" s="4">
        <v>22922.59</v>
      </c>
      <c r="J1081" s="4" t="s">
        <v>15</v>
      </c>
      <c r="K1081" s="4">
        <v>-16.02</v>
      </c>
      <c r="L1081" s="11">
        <v>-1</v>
      </c>
      <c r="M1081" s="4">
        <v>0</v>
      </c>
      <c r="N1081" s="4">
        <f t="shared" si="32"/>
        <v>1</v>
      </c>
      <c r="O1081" s="4">
        <f t="shared" si="33"/>
        <v>0</v>
      </c>
    </row>
    <row r="1082" spans="1:15" x14ac:dyDescent="0.2">
      <c r="A1082" s="3">
        <v>45848</v>
      </c>
      <c r="B1082" s="4">
        <v>4</v>
      </c>
      <c r="C1082" s="4" t="s">
        <v>13</v>
      </c>
      <c r="D1082" s="5">
        <v>0.40555555555555556</v>
      </c>
      <c r="E1082" s="4">
        <v>22841.11</v>
      </c>
      <c r="F1082" s="5">
        <v>0.40902777777777777</v>
      </c>
      <c r="G1082" s="4">
        <v>22801.14</v>
      </c>
      <c r="H1082" s="4">
        <v>22857.1</v>
      </c>
      <c r="I1082" s="4">
        <v>22801.14</v>
      </c>
      <c r="J1082" s="4" t="s">
        <v>14</v>
      </c>
      <c r="K1082" s="4">
        <v>39.97</v>
      </c>
      <c r="L1082" s="11">
        <v>2.5</v>
      </c>
      <c r="M1082" s="4">
        <v>1</v>
      </c>
      <c r="N1082" s="4">
        <f t="shared" si="32"/>
        <v>0</v>
      </c>
      <c r="O1082" s="4">
        <f t="shared" si="33"/>
        <v>1</v>
      </c>
    </row>
    <row r="1083" spans="1:15" x14ac:dyDescent="0.2">
      <c r="A1083" s="3">
        <v>45848</v>
      </c>
      <c r="B1083" s="4">
        <v>4</v>
      </c>
      <c r="C1083" s="4" t="s">
        <v>16</v>
      </c>
      <c r="D1083" s="5">
        <v>0.4465277777777778</v>
      </c>
      <c r="E1083" s="4">
        <v>22779</v>
      </c>
      <c r="F1083" s="5">
        <v>0.46736111111111112</v>
      </c>
      <c r="G1083" s="4">
        <v>22763.05</v>
      </c>
      <c r="H1083" s="4">
        <v>22763.05</v>
      </c>
      <c r="I1083" s="4">
        <v>22818.86</v>
      </c>
      <c r="J1083" s="4" t="s">
        <v>15</v>
      </c>
      <c r="K1083" s="4">
        <v>-15.95</v>
      </c>
      <c r="L1083" s="11">
        <v>-1</v>
      </c>
      <c r="M1083" s="4">
        <v>0</v>
      </c>
      <c r="N1083" s="4">
        <f t="shared" si="32"/>
        <v>1</v>
      </c>
      <c r="O1083" s="4">
        <f t="shared" si="33"/>
        <v>0</v>
      </c>
    </row>
    <row r="1084" spans="1:15" x14ac:dyDescent="0.2">
      <c r="A1084" s="3">
        <v>45849</v>
      </c>
      <c r="B1084" s="4">
        <v>5</v>
      </c>
      <c r="C1084" s="4" t="s">
        <v>16</v>
      </c>
      <c r="D1084" s="5">
        <v>0.41736111111111113</v>
      </c>
      <c r="E1084" s="4">
        <v>22780.81</v>
      </c>
      <c r="F1084" s="5">
        <v>0.4236111111111111</v>
      </c>
      <c r="G1084" s="4">
        <v>22764.87</v>
      </c>
      <c r="H1084" s="4">
        <v>22764.87</v>
      </c>
      <c r="I1084" s="4">
        <v>22820.68</v>
      </c>
      <c r="J1084" s="4" t="s">
        <v>15</v>
      </c>
      <c r="K1084" s="4">
        <v>-15.95</v>
      </c>
      <c r="L1084" s="11">
        <v>-1</v>
      </c>
      <c r="M1084" s="4">
        <v>0</v>
      </c>
      <c r="N1084" s="4">
        <f t="shared" si="32"/>
        <v>2</v>
      </c>
      <c r="O1084" s="4">
        <f t="shared" si="33"/>
        <v>0</v>
      </c>
    </row>
    <row r="1085" spans="1:15" x14ac:dyDescent="0.2">
      <c r="A1085" s="3">
        <v>45849</v>
      </c>
      <c r="B1085" s="4">
        <v>5</v>
      </c>
      <c r="C1085" s="4" t="s">
        <v>13</v>
      </c>
      <c r="D1085" s="5">
        <v>0.45555555555555555</v>
      </c>
      <c r="E1085" s="4">
        <v>22783.19</v>
      </c>
      <c r="F1085" s="5">
        <v>0.46805555555555556</v>
      </c>
      <c r="G1085" s="4">
        <v>22743.32</v>
      </c>
      <c r="H1085" s="4">
        <v>22799.14</v>
      </c>
      <c r="I1085" s="4">
        <v>22743.32</v>
      </c>
      <c r="J1085" s="4" t="s">
        <v>14</v>
      </c>
      <c r="K1085" s="4">
        <v>39.869999999999997</v>
      </c>
      <c r="L1085" s="11">
        <v>2.5</v>
      </c>
      <c r="M1085" s="4">
        <v>1</v>
      </c>
      <c r="N1085" s="4">
        <f t="shared" si="32"/>
        <v>0</v>
      </c>
      <c r="O1085" s="4">
        <f t="shared" si="33"/>
        <v>1</v>
      </c>
    </row>
    <row r="1086" spans="1:15" x14ac:dyDescent="0.2">
      <c r="A1086" s="3">
        <v>45852</v>
      </c>
      <c r="B1086" s="4">
        <v>1</v>
      </c>
      <c r="C1086" s="4" t="s">
        <v>16</v>
      </c>
      <c r="D1086" s="5">
        <v>0.39583333333333331</v>
      </c>
      <c r="E1086" s="4">
        <v>22757.72</v>
      </c>
      <c r="F1086" s="5">
        <v>0.39652777777777776</v>
      </c>
      <c r="G1086" s="4">
        <v>22797.54</v>
      </c>
      <c r="H1086" s="4">
        <v>22741.79</v>
      </c>
      <c r="I1086" s="4">
        <v>22797.54</v>
      </c>
      <c r="J1086" s="4" t="s">
        <v>14</v>
      </c>
      <c r="K1086" s="4">
        <v>39.83</v>
      </c>
      <c r="L1086" s="11">
        <v>2.5</v>
      </c>
      <c r="M1086" s="4">
        <v>1</v>
      </c>
      <c r="N1086" s="4">
        <f t="shared" si="32"/>
        <v>0</v>
      </c>
      <c r="O1086" s="4">
        <f t="shared" si="33"/>
        <v>2</v>
      </c>
    </row>
    <row r="1087" spans="1:15" x14ac:dyDescent="0.2">
      <c r="A1087" s="3">
        <v>45852</v>
      </c>
      <c r="B1087" s="4">
        <v>1</v>
      </c>
      <c r="C1087" s="4" t="s">
        <v>16</v>
      </c>
      <c r="D1087" s="5">
        <v>0.42222222222222222</v>
      </c>
      <c r="E1087" s="4">
        <v>22754.21</v>
      </c>
      <c r="F1087" s="5">
        <v>0.42569444444444443</v>
      </c>
      <c r="G1087" s="4">
        <v>22738.28</v>
      </c>
      <c r="H1087" s="4">
        <v>22738.28</v>
      </c>
      <c r="I1087" s="4">
        <v>22794.03</v>
      </c>
      <c r="J1087" s="4" t="s">
        <v>15</v>
      </c>
      <c r="K1087" s="4">
        <v>-15.93</v>
      </c>
      <c r="L1087" s="11">
        <v>-1</v>
      </c>
      <c r="M1087" s="4">
        <v>0</v>
      </c>
      <c r="N1087" s="4">
        <f t="shared" si="32"/>
        <v>1</v>
      </c>
      <c r="O1087" s="4">
        <f t="shared" si="33"/>
        <v>0</v>
      </c>
    </row>
    <row r="1088" spans="1:15" x14ac:dyDescent="0.2">
      <c r="A1088" s="3">
        <v>45852</v>
      </c>
      <c r="B1088" s="4">
        <v>1</v>
      </c>
      <c r="C1088" s="4" t="s">
        <v>16</v>
      </c>
      <c r="D1088" s="5">
        <v>0.4548611111111111</v>
      </c>
      <c r="E1088" s="4">
        <v>22799.54</v>
      </c>
      <c r="F1088" s="5">
        <v>0.46111111111111114</v>
      </c>
      <c r="G1088" s="4">
        <v>22839.439999999999</v>
      </c>
      <c r="H1088" s="4">
        <v>22783.58</v>
      </c>
      <c r="I1088" s="4">
        <v>22839.439999999999</v>
      </c>
      <c r="J1088" s="4" t="s">
        <v>14</v>
      </c>
      <c r="K1088" s="4">
        <v>39.9</v>
      </c>
      <c r="L1088" s="11">
        <v>2.5</v>
      </c>
      <c r="M1088" s="4">
        <v>1</v>
      </c>
      <c r="N1088" s="4">
        <f t="shared" si="32"/>
        <v>0</v>
      </c>
      <c r="O1088" s="4">
        <f t="shared" si="33"/>
        <v>1</v>
      </c>
    </row>
    <row r="1089" spans="1:15" x14ac:dyDescent="0.2">
      <c r="A1089" s="3">
        <v>45853</v>
      </c>
      <c r="B1089" s="4">
        <v>2</v>
      </c>
      <c r="C1089" s="4" t="s">
        <v>13</v>
      </c>
      <c r="D1089" s="5">
        <v>0.40416666666666667</v>
      </c>
      <c r="E1089" s="4">
        <v>22978.44</v>
      </c>
      <c r="F1089" s="5">
        <v>0.40625</v>
      </c>
      <c r="G1089" s="4">
        <v>22994.52</v>
      </c>
      <c r="H1089" s="4">
        <v>22994.52</v>
      </c>
      <c r="I1089" s="4">
        <v>22938.22</v>
      </c>
      <c r="J1089" s="4" t="s">
        <v>15</v>
      </c>
      <c r="K1089" s="4">
        <v>-16.079999999999998</v>
      </c>
      <c r="L1089" s="11">
        <v>-1</v>
      </c>
      <c r="M1089" s="4">
        <v>0</v>
      </c>
      <c r="N1089" s="4">
        <f t="shared" si="32"/>
        <v>1</v>
      </c>
      <c r="O1089" s="4">
        <f t="shared" si="33"/>
        <v>0</v>
      </c>
    </row>
    <row r="1090" spans="1:15" x14ac:dyDescent="0.2">
      <c r="A1090" s="3">
        <v>45853</v>
      </c>
      <c r="B1090" s="4">
        <v>2</v>
      </c>
      <c r="C1090" s="4" t="s">
        <v>13</v>
      </c>
      <c r="D1090" s="5">
        <v>0.44513888888888886</v>
      </c>
      <c r="E1090" s="4">
        <v>22981.07</v>
      </c>
      <c r="F1090" s="5">
        <v>0.45347222222222222</v>
      </c>
      <c r="G1090" s="4">
        <v>22940.85</v>
      </c>
      <c r="H1090" s="4">
        <v>22997.16</v>
      </c>
      <c r="I1090" s="4">
        <v>22940.85</v>
      </c>
      <c r="J1090" s="4" t="s">
        <v>14</v>
      </c>
      <c r="K1090" s="4">
        <v>40.22</v>
      </c>
      <c r="L1090" s="11">
        <v>2.5</v>
      </c>
      <c r="M1090" s="4">
        <v>1</v>
      </c>
      <c r="N1090" s="4">
        <f t="shared" ref="N1090:N1153" si="34">IF(M1090=0, IF(M1089=0, N1089+1, 1), 0)</f>
        <v>0</v>
      </c>
      <c r="O1090" s="4">
        <f t="shared" ref="O1090:O1153" si="35">IF(M1090=1, IF(M1089=1, O1089+1, 1), 0)</f>
        <v>1</v>
      </c>
    </row>
    <row r="1091" spans="1:15" x14ac:dyDescent="0.2">
      <c r="A1091" s="3">
        <v>45854</v>
      </c>
      <c r="B1091" s="4">
        <v>3</v>
      </c>
      <c r="C1091" s="4" t="s">
        <v>13</v>
      </c>
      <c r="D1091" s="5">
        <v>0.40625</v>
      </c>
      <c r="E1091" s="4">
        <v>22847.47</v>
      </c>
      <c r="F1091" s="5">
        <v>0.40972222222222221</v>
      </c>
      <c r="G1091" s="4">
        <v>22807.48</v>
      </c>
      <c r="H1091" s="4">
        <v>22863.46</v>
      </c>
      <c r="I1091" s="4">
        <v>22807.48</v>
      </c>
      <c r="J1091" s="4" t="s">
        <v>14</v>
      </c>
      <c r="K1091" s="4">
        <v>39.979999999999997</v>
      </c>
      <c r="L1091" s="11">
        <v>2.5</v>
      </c>
      <c r="M1091" s="4">
        <v>1</v>
      </c>
      <c r="N1091" s="4">
        <f t="shared" si="34"/>
        <v>0</v>
      </c>
      <c r="O1091" s="4">
        <f t="shared" si="35"/>
        <v>2</v>
      </c>
    </row>
    <row r="1092" spans="1:15" x14ac:dyDescent="0.2">
      <c r="A1092" s="3">
        <v>45854</v>
      </c>
      <c r="B1092" s="4">
        <v>3</v>
      </c>
      <c r="C1092" s="4" t="s">
        <v>16</v>
      </c>
      <c r="D1092" s="5">
        <v>0.44027777777777777</v>
      </c>
      <c r="E1092" s="4">
        <v>22847.22</v>
      </c>
      <c r="F1092" s="5">
        <v>0.44097222222222221</v>
      </c>
      <c r="G1092" s="4">
        <v>22831.23</v>
      </c>
      <c r="H1092" s="4">
        <v>22831.23</v>
      </c>
      <c r="I1092" s="4">
        <v>22887.200000000001</v>
      </c>
      <c r="J1092" s="4" t="s">
        <v>15</v>
      </c>
      <c r="K1092" s="4">
        <v>-15.99</v>
      </c>
      <c r="L1092" s="11">
        <v>-1</v>
      </c>
      <c r="M1092" s="4">
        <v>0</v>
      </c>
      <c r="N1092" s="4">
        <f t="shared" si="34"/>
        <v>1</v>
      </c>
      <c r="O1092" s="4">
        <f t="shared" si="35"/>
        <v>0</v>
      </c>
    </row>
    <row r="1093" spans="1:15" x14ac:dyDescent="0.2">
      <c r="A1093" s="3">
        <v>45855</v>
      </c>
      <c r="B1093" s="4">
        <v>4</v>
      </c>
      <c r="C1093" s="4" t="s">
        <v>13</v>
      </c>
      <c r="D1093" s="5">
        <v>0.39583333333333331</v>
      </c>
      <c r="E1093" s="4">
        <v>22938.3</v>
      </c>
      <c r="F1093" s="5">
        <v>0.39861111111111114</v>
      </c>
      <c r="G1093" s="4">
        <v>22898.16</v>
      </c>
      <c r="H1093" s="4">
        <v>22954.36</v>
      </c>
      <c r="I1093" s="4">
        <v>22898.16</v>
      </c>
      <c r="J1093" s="4" t="s">
        <v>14</v>
      </c>
      <c r="K1093" s="4">
        <v>40.14</v>
      </c>
      <c r="L1093" s="11">
        <v>2.5</v>
      </c>
      <c r="M1093" s="4">
        <v>1</v>
      </c>
      <c r="N1093" s="4">
        <f t="shared" si="34"/>
        <v>0</v>
      </c>
      <c r="O1093" s="4">
        <f t="shared" si="35"/>
        <v>1</v>
      </c>
    </row>
    <row r="1094" spans="1:15" x14ac:dyDescent="0.2">
      <c r="A1094" s="3">
        <v>45855</v>
      </c>
      <c r="B1094" s="4">
        <v>4</v>
      </c>
      <c r="C1094" s="4" t="s">
        <v>16</v>
      </c>
      <c r="D1094" s="5">
        <v>0.41319444444444442</v>
      </c>
      <c r="E1094" s="4">
        <v>22976.7</v>
      </c>
      <c r="F1094" s="5">
        <v>0.43055555555555558</v>
      </c>
      <c r="G1094" s="4">
        <v>22960.62</v>
      </c>
      <c r="H1094" s="4">
        <v>22960.62</v>
      </c>
      <c r="I1094" s="4">
        <v>23016.91</v>
      </c>
      <c r="J1094" s="4" t="s">
        <v>15</v>
      </c>
      <c r="K1094" s="4">
        <v>-16.079999999999998</v>
      </c>
      <c r="L1094" s="11">
        <v>-1</v>
      </c>
      <c r="M1094" s="4">
        <v>0</v>
      </c>
      <c r="N1094" s="4">
        <f t="shared" si="34"/>
        <v>1</v>
      </c>
      <c r="O1094" s="4">
        <f t="shared" si="35"/>
        <v>0</v>
      </c>
    </row>
    <row r="1095" spans="1:15" x14ac:dyDescent="0.2">
      <c r="A1095" s="3">
        <v>45855</v>
      </c>
      <c r="B1095" s="4">
        <v>4</v>
      </c>
      <c r="C1095" s="4" t="s">
        <v>16</v>
      </c>
      <c r="D1095" s="5">
        <v>0.44722222222222224</v>
      </c>
      <c r="E1095" s="4">
        <v>23002.73</v>
      </c>
      <c r="F1095" s="5">
        <v>0.46111111111111114</v>
      </c>
      <c r="G1095" s="4">
        <v>23042.98</v>
      </c>
      <c r="H1095" s="4">
        <v>22986.63</v>
      </c>
      <c r="I1095" s="4">
        <v>23042.98</v>
      </c>
      <c r="J1095" s="4" t="s">
        <v>14</v>
      </c>
      <c r="K1095" s="4">
        <v>40.25</v>
      </c>
      <c r="L1095" s="11">
        <v>2.5</v>
      </c>
      <c r="M1095" s="4">
        <v>1</v>
      </c>
      <c r="N1095" s="4">
        <f t="shared" si="34"/>
        <v>0</v>
      </c>
      <c r="O1095" s="4">
        <f t="shared" si="35"/>
        <v>1</v>
      </c>
    </row>
    <row r="1096" spans="1:15" x14ac:dyDescent="0.2">
      <c r="A1096" s="3">
        <v>45856</v>
      </c>
      <c r="B1096" s="4">
        <v>5</v>
      </c>
      <c r="C1096" s="4" t="s">
        <v>13</v>
      </c>
      <c r="D1096" s="5">
        <v>0.41666666666666669</v>
      </c>
      <c r="E1096" s="4">
        <v>23101.54</v>
      </c>
      <c r="F1096" s="5">
        <v>0.42638888888888887</v>
      </c>
      <c r="G1096" s="4">
        <v>23061.11</v>
      </c>
      <c r="H1096" s="4">
        <v>23117.71</v>
      </c>
      <c r="I1096" s="4">
        <v>23061.11</v>
      </c>
      <c r="J1096" s="4" t="s">
        <v>14</v>
      </c>
      <c r="K1096" s="4">
        <v>40.43</v>
      </c>
      <c r="L1096" s="11">
        <v>2.5</v>
      </c>
      <c r="M1096" s="4">
        <v>1</v>
      </c>
      <c r="N1096" s="4">
        <f t="shared" si="34"/>
        <v>0</v>
      </c>
      <c r="O1096" s="4">
        <f t="shared" si="35"/>
        <v>2</v>
      </c>
    </row>
    <row r="1097" spans="1:15" x14ac:dyDescent="0.2">
      <c r="A1097" s="3">
        <v>45859</v>
      </c>
      <c r="B1097" s="4">
        <v>1</v>
      </c>
      <c r="C1097" s="4" t="s">
        <v>16</v>
      </c>
      <c r="D1097" s="5">
        <v>0.40138888888888891</v>
      </c>
      <c r="E1097" s="4">
        <v>23145.87</v>
      </c>
      <c r="F1097" s="5">
        <v>0.40625</v>
      </c>
      <c r="G1097" s="4">
        <v>23186.37</v>
      </c>
      <c r="H1097" s="4">
        <v>23129.67</v>
      </c>
      <c r="I1097" s="4">
        <v>23186.37</v>
      </c>
      <c r="J1097" s="4" t="s">
        <v>14</v>
      </c>
      <c r="K1097" s="4">
        <v>40.51</v>
      </c>
      <c r="L1097" s="11">
        <v>2.5</v>
      </c>
      <c r="M1097" s="4">
        <v>1</v>
      </c>
      <c r="N1097" s="4">
        <f t="shared" si="34"/>
        <v>0</v>
      </c>
      <c r="O1097" s="4">
        <f t="shared" si="35"/>
        <v>3</v>
      </c>
    </row>
    <row r="1098" spans="1:15" x14ac:dyDescent="0.2">
      <c r="A1098" s="3">
        <v>45860</v>
      </c>
      <c r="B1098" s="4">
        <v>2</v>
      </c>
      <c r="C1098" s="4" t="s">
        <v>13</v>
      </c>
      <c r="D1098" s="5">
        <v>0.4</v>
      </c>
      <c r="E1098" s="4">
        <v>23141.22</v>
      </c>
      <c r="F1098" s="5">
        <v>0.40555555555555556</v>
      </c>
      <c r="G1098" s="4">
        <v>23100.720000000001</v>
      </c>
      <c r="H1098" s="4">
        <v>23157.42</v>
      </c>
      <c r="I1098" s="4">
        <v>23100.720000000001</v>
      </c>
      <c r="J1098" s="4" t="s">
        <v>14</v>
      </c>
      <c r="K1098" s="4">
        <v>40.5</v>
      </c>
      <c r="L1098" s="11">
        <v>2.5</v>
      </c>
      <c r="M1098" s="4">
        <v>1</v>
      </c>
      <c r="N1098" s="4">
        <f t="shared" si="34"/>
        <v>0</v>
      </c>
      <c r="O1098" s="4">
        <f t="shared" si="35"/>
        <v>4</v>
      </c>
    </row>
    <row r="1099" spans="1:15" x14ac:dyDescent="0.2">
      <c r="A1099" s="3">
        <v>45860</v>
      </c>
      <c r="B1099" s="4">
        <v>2</v>
      </c>
      <c r="C1099" s="4" t="s">
        <v>16</v>
      </c>
      <c r="D1099" s="5">
        <v>0.44305555555555554</v>
      </c>
      <c r="E1099" s="4">
        <v>23054.81</v>
      </c>
      <c r="F1099" s="5">
        <v>0.50208333333333333</v>
      </c>
      <c r="G1099" s="4">
        <v>23038.67</v>
      </c>
      <c r="H1099" s="4">
        <v>23038.67</v>
      </c>
      <c r="I1099" s="4">
        <v>23095.16</v>
      </c>
      <c r="J1099" s="4" t="s">
        <v>15</v>
      </c>
      <c r="K1099" s="4">
        <v>-16.14</v>
      </c>
      <c r="L1099" s="11">
        <v>-1</v>
      </c>
      <c r="M1099" s="4">
        <v>0</v>
      </c>
      <c r="N1099" s="4">
        <f t="shared" si="34"/>
        <v>1</v>
      </c>
      <c r="O1099" s="4">
        <f t="shared" si="35"/>
        <v>0</v>
      </c>
    </row>
    <row r="1100" spans="1:15" x14ac:dyDescent="0.2">
      <c r="A1100" s="3">
        <v>45861</v>
      </c>
      <c r="B1100" s="4">
        <v>3</v>
      </c>
      <c r="C1100" s="4" t="s">
        <v>13</v>
      </c>
      <c r="D1100" s="5">
        <v>0.40763888888888888</v>
      </c>
      <c r="E1100" s="4">
        <v>23034.81</v>
      </c>
      <c r="F1100" s="5">
        <v>0.40833333333333333</v>
      </c>
      <c r="G1100" s="4">
        <v>23050.93</v>
      </c>
      <c r="H1100" s="4">
        <v>23050.93</v>
      </c>
      <c r="I1100" s="4">
        <v>22994.5</v>
      </c>
      <c r="J1100" s="4" t="s">
        <v>15</v>
      </c>
      <c r="K1100" s="4">
        <v>-16.12</v>
      </c>
      <c r="L1100" s="11">
        <v>-1</v>
      </c>
      <c r="M1100" s="4">
        <v>0</v>
      </c>
      <c r="N1100" s="4">
        <f t="shared" si="34"/>
        <v>2</v>
      </c>
      <c r="O1100" s="4">
        <f t="shared" si="35"/>
        <v>0</v>
      </c>
    </row>
    <row r="1101" spans="1:15" x14ac:dyDescent="0.2">
      <c r="A1101" s="3">
        <v>45861</v>
      </c>
      <c r="B1101" s="4">
        <v>3</v>
      </c>
      <c r="C1101" s="4" t="s">
        <v>16</v>
      </c>
      <c r="D1101" s="5">
        <v>0.4548611111111111</v>
      </c>
      <c r="E1101" s="4">
        <v>23039.49</v>
      </c>
      <c r="F1101" s="5">
        <v>0.49513888888888891</v>
      </c>
      <c r="G1101" s="4">
        <v>23079.81</v>
      </c>
      <c r="H1101" s="4">
        <v>23023.360000000001</v>
      </c>
      <c r="I1101" s="4">
        <v>23079.81</v>
      </c>
      <c r="J1101" s="4" t="s">
        <v>14</v>
      </c>
      <c r="K1101" s="4">
        <v>40.32</v>
      </c>
      <c r="L1101" s="11">
        <v>2.5</v>
      </c>
      <c r="M1101" s="4">
        <v>1</v>
      </c>
      <c r="N1101" s="4">
        <f t="shared" si="34"/>
        <v>0</v>
      </c>
      <c r="O1101" s="4">
        <f t="shared" si="35"/>
        <v>1</v>
      </c>
    </row>
    <row r="1102" spans="1:15" x14ac:dyDescent="0.2">
      <c r="A1102" s="3">
        <v>45863</v>
      </c>
      <c r="B1102" s="4">
        <v>5</v>
      </c>
      <c r="C1102" s="4" t="s">
        <v>16</v>
      </c>
      <c r="D1102" s="5">
        <v>0.41319444444444442</v>
      </c>
      <c r="E1102" s="4">
        <v>23247.02</v>
      </c>
      <c r="F1102" s="5">
        <v>0.50624999999999998</v>
      </c>
      <c r="G1102" s="4">
        <v>23287.7</v>
      </c>
      <c r="H1102" s="4">
        <v>23230.74</v>
      </c>
      <c r="I1102" s="4">
        <v>23287.7</v>
      </c>
      <c r="J1102" s="4" t="s">
        <v>14</v>
      </c>
      <c r="K1102" s="4">
        <v>40.68</v>
      </c>
      <c r="L1102" s="11">
        <v>2.5</v>
      </c>
      <c r="M1102" s="4">
        <v>1</v>
      </c>
      <c r="N1102" s="4">
        <f t="shared" si="34"/>
        <v>0</v>
      </c>
      <c r="O1102" s="4">
        <f t="shared" si="35"/>
        <v>2</v>
      </c>
    </row>
    <row r="1103" spans="1:15" x14ac:dyDescent="0.2">
      <c r="A1103" s="3">
        <v>45866</v>
      </c>
      <c r="B1103" s="4">
        <v>1</v>
      </c>
      <c r="C1103" s="4" t="s">
        <v>16</v>
      </c>
      <c r="D1103" s="5">
        <v>0.40763888888888888</v>
      </c>
      <c r="E1103" s="4">
        <v>23358.82</v>
      </c>
      <c r="F1103" s="5">
        <v>0.43125000000000002</v>
      </c>
      <c r="G1103" s="4">
        <v>23342.47</v>
      </c>
      <c r="H1103" s="4">
        <v>23342.47</v>
      </c>
      <c r="I1103" s="4">
        <v>23399.7</v>
      </c>
      <c r="J1103" s="4" t="s">
        <v>15</v>
      </c>
      <c r="K1103" s="4">
        <v>-16.350000000000001</v>
      </c>
      <c r="L1103" s="11">
        <v>-1</v>
      </c>
      <c r="M1103" s="4">
        <v>0</v>
      </c>
      <c r="N1103" s="4">
        <f t="shared" si="34"/>
        <v>1</v>
      </c>
      <c r="O1103" s="4">
        <f t="shared" si="35"/>
        <v>0</v>
      </c>
    </row>
    <row r="1104" spans="1:15" x14ac:dyDescent="0.2">
      <c r="A1104" s="3">
        <v>45866</v>
      </c>
      <c r="B1104" s="4">
        <v>1</v>
      </c>
      <c r="C1104" s="4" t="s">
        <v>13</v>
      </c>
      <c r="D1104" s="5">
        <v>0.4548611111111111</v>
      </c>
      <c r="E1104" s="4">
        <v>23349.22</v>
      </c>
      <c r="F1104" s="5">
        <v>0.47222222222222221</v>
      </c>
      <c r="G1104" s="4">
        <v>23308.35</v>
      </c>
      <c r="H1104" s="4">
        <v>23365.56</v>
      </c>
      <c r="I1104" s="4">
        <v>23308.35</v>
      </c>
      <c r="J1104" s="4" t="s">
        <v>14</v>
      </c>
      <c r="K1104" s="4">
        <v>40.86</v>
      </c>
      <c r="L1104" s="11">
        <v>2.5</v>
      </c>
      <c r="M1104" s="4">
        <v>1</v>
      </c>
      <c r="N1104" s="4">
        <f t="shared" si="34"/>
        <v>0</v>
      </c>
      <c r="O1104" s="4">
        <f t="shared" si="35"/>
        <v>1</v>
      </c>
    </row>
    <row r="1105" spans="1:15" x14ac:dyDescent="0.2">
      <c r="A1105" s="3">
        <v>45867</v>
      </c>
      <c r="B1105" s="4">
        <v>2</v>
      </c>
      <c r="C1105" s="4" t="s">
        <v>16</v>
      </c>
      <c r="D1105" s="5">
        <v>0.4</v>
      </c>
      <c r="E1105" s="4">
        <v>23489.48</v>
      </c>
      <c r="F1105" s="5">
        <v>0.40694444444444444</v>
      </c>
      <c r="G1105" s="4">
        <v>23473.040000000001</v>
      </c>
      <c r="H1105" s="4">
        <v>23473.040000000001</v>
      </c>
      <c r="I1105" s="4">
        <v>23530.59</v>
      </c>
      <c r="J1105" s="4" t="s">
        <v>15</v>
      </c>
      <c r="K1105" s="4">
        <v>-16.440000000000001</v>
      </c>
      <c r="L1105" s="11">
        <v>-1</v>
      </c>
      <c r="M1105" s="4">
        <v>0</v>
      </c>
      <c r="N1105" s="4">
        <f t="shared" si="34"/>
        <v>1</v>
      </c>
      <c r="O1105" s="4">
        <f t="shared" si="35"/>
        <v>0</v>
      </c>
    </row>
    <row r="1106" spans="1:15" x14ac:dyDescent="0.2">
      <c r="A1106" s="3">
        <v>45867</v>
      </c>
      <c r="B1106" s="4">
        <v>2</v>
      </c>
      <c r="C1106" s="4" t="s">
        <v>13</v>
      </c>
      <c r="D1106" s="5">
        <v>0.42083333333333334</v>
      </c>
      <c r="E1106" s="4">
        <v>23430.53</v>
      </c>
      <c r="F1106" s="5">
        <v>0.42499999999999999</v>
      </c>
      <c r="G1106" s="4">
        <v>23446.93</v>
      </c>
      <c r="H1106" s="4">
        <v>23446.93</v>
      </c>
      <c r="I1106" s="4">
        <v>23389.53</v>
      </c>
      <c r="J1106" s="4" t="s">
        <v>15</v>
      </c>
      <c r="K1106" s="4">
        <v>-16.399999999999999</v>
      </c>
      <c r="L1106" s="11">
        <v>-1</v>
      </c>
      <c r="M1106" s="4">
        <v>0</v>
      </c>
      <c r="N1106" s="4">
        <f t="shared" si="34"/>
        <v>2</v>
      </c>
      <c r="O1106" s="4">
        <f t="shared" si="35"/>
        <v>0</v>
      </c>
    </row>
    <row r="1107" spans="1:15" x14ac:dyDescent="0.2">
      <c r="A1107" s="3">
        <v>45867</v>
      </c>
      <c r="B1107" s="4">
        <v>2</v>
      </c>
      <c r="C1107" s="4" t="s">
        <v>13</v>
      </c>
      <c r="D1107" s="5">
        <v>0.4548611111111111</v>
      </c>
      <c r="E1107" s="4">
        <v>23393.79</v>
      </c>
      <c r="F1107" s="5">
        <v>0.47361111111111109</v>
      </c>
      <c r="G1107" s="4">
        <v>23352.85</v>
      </c>
      <c r="H1107" s="4">
        <v>23410.17</v>
      </c>
      <c r="I1107" s="4">
        <v>23352.85</v>
      </c>
      <c r="J1107" s="4" t="s">
        <v>14</v>
      </c>
      <c r="K1107" s="4">
        <v>40.94</v>
      </c>
      <c r="L1107" s="11">
        <v>2.5</v>
      </c>
      <c r="M1107" s="4">
        <v>1</v>
      </c>
      <c r="N1107" s="4">
        <f t="shared" si="34"/>
        <v>0</v>
      </c>
      <c r="O1107" s="4">
        <f t="shared" si="35"/>
        <v>1</v>
      </c>
    </row>
    <row r="1108" spans="1:15" x14ac:dyDescent="0.2">
      <c r="A1108" s="3">
        <v>45869</v>
      </c>
      <c r="B1108" s="4">
        <v>4</v>
      </c>
      <c r="C1108" s="4" t="s">
        <v>13</v>
      </c>
      <c r="D1108" s="5">
        <v>0.39583333333333331</v>
      </c>
      <c r="E1108" s="4">
        <v>23613.21</v>
      </c>
      <c r="F1108" s="5">
        <v>0.39652777777777776</v>
      </c>
      <c r="G1108" s="4">
        <v>23571.89</v>
      </c>
      <c r="H1108" s="4">
        <v>23629.74</v>
      </c>
      <c r="I1108" s="4">
        <v>23571.89</v>
      </c>
      <c r="J1108" s="4" t="s">
        <v>14</v>
      </c>
      <c r="K1108" s="4">
        <v>41.32</v>
      </c>
      <c r="L1108" s="11">
        <v>2.5</v>
      </c>
      <c r="M1108" s="4">
        <v>1</v>
      </c>
      <c r="N1108" s="4">
        <f t="shared" si="34"/>
        <v>0</v>
      </c>
      <c r="O1108" s="4">
        <f t="shared" si="35"/>
        <v>2</v>
      </c>
    </row>
    <row r="1109" spans="1:15" x14ac:dyDescent="0.2">
      <c r="A1109" s="3">
        <v>45869</v>
      </c>
      <c r="B1109" s="4">
        <v>4</v>
      </c>
      <c r="C1109" s="4" t="s">
        <v>13</v>
      </c>
      <c r="D1109" s="5">
        <v>0.44305555555555554</v>
      </c>
      <c r="E1109" s="4">
        <v>23484.58</v>
      </c>
      <c r="F1109" s="5">
        <v>0.4513888888888889</v>
      </c>
      <c r="G1109" s="4">
        <v>23443.48</v>
      </c>
      <c r="H1109" s="4">
        <v>23501.02</v>
      </c>
      <c r="I1109" s="4">
        <v>23443.48</v>
      </c>
      <c r="J1109" s="4" t="s">
        <v>14</v>
      </c>
      <c r="K1109" s="4">
        <v>41.1</v>
      </c>
      <c r="L1109" s="11">
        <v>2.5</v>
      </c>
      <c r="M1109" s="4">
        <v>1</v>
      </c>
      <c r="N1109" s="4">
        <f t="shared" si="34"/>
        <v>0</v>
      </c>
      <c r="O1109" s="4">
        <f t="shared" si="35"/>
        <v>3</v>
      </c>
    </row>
    <row r="1110" spans="1:15" x14ac:dyDescent="0.2">
      <c r="A1110" s="1">
        <v>45873</v>
      </c>
      <c r="B1110">
        <v>1</v>
      </c>
      <c r="C1110" t="s">
        <v>16</v>
      </c>
      <c r="D1110" s="2">
        <v>0.39791666666666664</v>
      </c>
      <c r="E1110">
        <v>22986.71</v>
      </c>
      <c r="F1110" s="2">
        <v>0.39930555555555558</v>
      </c>
      <c r="G1110">
        <v>23026.94</v>
      </c>
      <c r="H1110">
        <v>22970.62</v>
      </c>
      <c r="I1110">
        <v>23026.94</v>
      </c>
      <c r="J1110" t="s">
        <v>14</v>
      </c>
      <c r="K1110">
        <v>40.229999999999997</v>
      </c>
      <c r="L1110" s="9">
        <v>2.5</v>
      </c>
      <c r="M1110">
        <v>1</v>
      </c>
      <c r="N1110">
        <f t="shared" si="34"/>
        <v>0</v>
      </c>
      <c r="O1110">
        <f t="shared" si="35"/>
        <v>4</v>
      </c>
    </row>
    <row r="1111" spans="1:15" x14ac:dyDescent="0.2">
      <c r="A1111" s="1">
        <v>45873</v>
      </c>
      <c r="B1111">
        <v>1</v>
      </c>
      <c r="C1111" t="s">
        <v>13</v>
      </c>
      <c r="D1111" s="2">
        <v>0.45624999999999999</v>
      </c>
      <c r="E1111">
        <v>23086.09</v>
      </c>
      <c r="F1111" s="2">
        <v>0.46041666666666664</v>
      </c>
      <c r="G1111">
        <v>23102.25</v>
      </c>
      <c r="H1111">
        <v>23102.25</v>
      </c>
      <c r="I1111">
        <v>23045.69</v>
      </c>
      <c r="J1111" t="s">
        <v>15</v>
      </c>
      <c r="K1111">
        <v>-16.16</v>
      </c>
      <c r="L1111" s="9">
        <v>-1</v>
      </c>
      <c r="M1111">
        <v>0</v>
      </c>
      <c r="N1111">
        <f t="shared" si="34"/>
        <v>1</v>
      </c>
      <c r="O1111">
        <f t="shared" si="35"/>
        <v>0</v>
      </c>
    </row>
    <row r="1112" spans="1:15" x14ac:dyDescent="0.2">
      <c r="A1112" s="1">
        <v>45874</v>
      </c>
      <c r="B1112">
        <v>2</v>
      </c>
      <c r="C1112" t="s">
        <v>13</v>
      </c>
      <c r="D1112" s="2">
        <v>0.42777777777777776</v>
      </c>
      <c r="E1112">
        <v>23203.26</v>
      </c>
      <c r="F1112" s="2">
        <v>0.43472222222222223</v>
      </c>
      <c r="G1112">
        <v>23162.65</v>
      </c>
      <c r="H1112">
        <v>23219.5</v>
      </c>
      <c r="I1112">
        <v>23162.65</v>
      </c>
      <c r="J1112" t="s">
        <v>14</v>
      </c>
      <c r="K1112">
        <v>40.61</v>
      </c>
      <c r="L1112" s="9">
        <v>2.5</v>
      </c>
      <c r="M1112">
        <v>1</v>
      </c>
      <c r="N1112">
        <f t="shared" si="34"/>
        <v>0</v>
      </c>
      <c r="O1112">
        <f t="shared" si="35"/>
        <v>1</v>
      </c>
    </row>
    <row r="1113" spans="1:15" x14ac:dyDescent="0.2">
      <c r="A1113" s="1">
        <v>45875</v>
      </c>
      <c r="B1113">
        <v>3</v>
      </c>
      <c r="C1113" t="s">
        <v>16</v>
      </c>
      <c r="D1113" s="2">
        <v>0.41458333333333336</v>
      </c>
      <c r="E1113">
        <v>23109.82</v>
      </c>
      <c r="F1113" s="2">
        <v>0.41597222222222224</v>
      </c>
      <c r="G1113">
        <v>23093.64</v>
      </c>
      <c r="H1113">
        <v>23093.64</v>
      </c>
      <c r="I1113">
        <v>23150.26</v>
      </c>
      <c r="J1113" t="s">
        <v>15</v>
      </c>
      <c r="K1113">
        <v>-16.18</v>
      </c>
      <c r="L1113" s="9">
        <v>-1</v>
      </c>
      <c r="M1113">
        <v>0</v>
      </c>
      <c r="N1113">
        <f t="shared" si="34"/>
        <v>1</v>
      </c>
      <c r="O1113">
        <f t="shared" si="35"/>
        <v>0</v>
      </c>
    </row>
    <row r="1114" spans="1:15" x14ac:dyDescent="0.2">
      <c r="A1114" s="1">
        <v>45875</v>
      </c>
      <c r="B1114">
        <v>3</v>
      </c>
      <c r="C1114" t="s">
        <v>13</v>
      </c>
      <c r="D1114" s="2">
        <v>0.43611111111111112</v>
      </c>
      <c r="E1114">
        <v>23069.82</v>
      </c>
      <c r="F1114" s="2">
        <v>0.43680555555555556</v>
      </c>
      <c r="G1114">
        <v>23085.97</v>
      </c>
      <c r="H1114">
        <v>23085.97</v>
      </c>
      <c r="I1114">
        <v>23029.45</v>
      </c>
      <c r="J1114" t="s">
        <v>15</v>
      </c>
      <c r="K1114">
        <v>-16.149999999999999</v>
      </c>
      <c r="L1114" s="9">
        <v>-1</v>
      </c>
      <c r="M1114">
        <v>0</v>
      </c>
      <c r="N1114">
        <f t="shared" si="34"/>
        <v>2</v>
      </c>
      <c r="O1114">
        <f t="shared" si="35"/>
        <v>0</v>
      </c>
    </row>
    <row r="1115" spans="1:15" x14ac:dyDescent="0.2">
      <c r="A1115" s="1">
        <v>45876</v>
      </c>
      <c r="B1115">
        <v>4</v>
      </c>
      <c r="C1115" t="s">
        <v>16</v>
      </c>
      <c r="D1115" s="2">
        <v>0.41736111111111113</v>
      </c>
      <c r="E1115">
        <v>23538.47</v>
      </c>
      <c r="F1115" s="2">
        <v>0.41805555555555557</v>
      </c>
      <c r="G1115">
        <v>23521.99</v>
      </c>
      <c r="H1115">
        <v>23521.99</v>
      </c>
      <c r="I1115">
        <v>23579.66</v>
      </c>
      <c r="J1115" t="s">
        <v>15</v>
      </c>
      <c r="K1115">
        <v>-16.48</v>
      </c>
      <c r="L1115" s="9">
        <v>-1</v>
      </c>
      <c r="M1115">
        <v>0</v>
      </c>
      <c r="N1115">
        <f t="shared" si="34"/>
        <v>3</v>
      </c>
      <c r="O1115">
        <f t="shared" si="35"/>
        <v>0</v>
      </c>
    </row>
    <row r="1116" spans="1:15" x14ac:dyDescent="0.2">
      <c r="A1116" s="1">
        <v>45876</v>
      </c>
      <c r="B1116">
        <v>4</v>
      </c>
      <c r="C1116" t="s">
        <v>13</v>
      </c>
      <c r="D1116" s="2">
        <v>0.43611111111111112</v>
      </c>
      <c r="E1116">
        <v>23452.75</v>
      </c>
      <c r="F1116" s="2">
        <v>0.44374999999999998</v>
      </c>
      <c r="G1116">
        <v>23469.16</v>
      </c>
      <c r="H1116">
        <v>23469.16</v>
      </c>
      <c r="I1116">
        <v>23411.7</v>
      </c>
      <c r="J1116" t="s">
        <v>15</v>
      </c>
      <c r="K1116">
        <v>-16.420000000000002</v>
      </c>
      <c r="L1116" s="9">
        <v>-1</v>
      </c>
      <c r="M1116">
        <v>0</v>
      </c>
      <c r="N1116">
        <f t="shared" si="34"/>
        <v>4</v>
      </c>
      <c r="O1116">
        <f t="shared" si="35"/>
        <v>0</v>
      </c>
    </row>
    <row r="1117" spans="1:15" x14ac:dyDescent="0.2">
      <c r="A1117" s="1">
        <v>45876</v>
      </c>
      <c r="B1117">
        <v>4</v>
      </c>
      <c r="C1117" t="s">
        <v>13</v>
      </c>
      <c r="D1117" s="2">
        <v>0.45624999999999999</v>
      </c>
      <c r="E1117">
        <v>23430.82</v>
      </c>
      <c r="F1117" s="2">
        <v>0.45833333333333331</v>
      </c>
      <c r="G1117">
        <v>23447.22</v>
      </c>
      <c r="H1117">
        <v>23447.22</v>
      </c>
      <c r="I1117">
        <v>23389.81</v>
      </c>
      <c r="J1117" t="s">
        <v>15</v>
      </c>
      <c r="K1117">
        <v>-16.399999999999999</v>
      </c>
      <c r="L1117" s="9">
        <v>-1</v>
      </c>
      <c r="M1117">
        <v>0</v>
      </c>
      <c r="N1117">
        <f t="shared" si="34"/>
        <v>5</v>
      </c>
      <c r="O1117">
        <f t="shared" si="35"/>
        <v>0</v>
      </c>
    </row>
    <row r="1118" spans="1:15" x14ac:dyDescent="0.2">
      <c r="A1118" s="1">
        <v>45877</v>
      </c>
      <c r="B1118">
        <v>5</v>
      </c>
      <c r="C1118" t="s">
        <v>16</v>
      </c>
      <c r="D1118" s="2">
        <v>0.40277777777777779</v>
      </c>
      <c r="E1118">
        <v>23468.799999999999</v>
      </c>
      <c r="F1118" s="2">
        <v>0.40486111111111112</v>
      </c>
      <c r="G1118">
        <v>23509.87</v>
      </c>
      <c r="H1118">
        <v>23452.38</v>
      </c>
      <c r="I1118">
        <v>23509.87</v>
      </c>
      <c r="J1118" t="s">
        <v>14</v>
      </c>
      <c r="K1118">
        <v>41.07</v>
      </c>
      <c r="L1118" s="9">
        <v>2.5</v>
      </c>
      <c r="M1118">
        <v>1</v>
      </c>
      <c r="N1118">
        <f t="shared" si="34"/>
        <v>0</v>
      </c>
      <c r="O1118">
        <f t="shared" si="35"/>
        <v>1</v>
      </c>
    </row>
    <row r="1119" spans="1:15" x14ac:dyDescent="0.2">
      <c r="A1119" s="1">
        <v>45877</v>
      </c>
      <c r="B1119">
        <v>5</v>
      </c>
      <c r="C1119" t="s">
        <v>16</v>
      </c>
      <c r="D1119" s="2">
        <v>0.43541666666666667</v>
      </c>
      <c r="E1119">
        <v>23561.18</v>
      </c>
      <c r="F1119" s="2">
        <v>0.45624999999999999</v>
      </c>
      <c r="G1119">
        <v>23544.68</v>
      </c>
      <c r="H1119">
        <v>23544.68</v>
      </c>
      <c r="I1119">
        <v>23602.41</v>
      </c>
      <c r="J1119" t="s">
        <v>15</v>
      </c>
      <c r="K1119">
        <v>-16.489999999999998</v>
      </c>
      <c r="L1119" s="9">
        <v>-1</v>
      </c>
      <c r="M1119">
        <v>0</v>
      </c>
      <c r="N1119">
        <f t="shared" si="34"/>
        <v>1</v>
      </c>
      <c r="O1119">
        <f t="shared" si="35"/>
        <v>0</v>
      </c>
    </row>
    <row r="1120" spans="1:15" x14ac:dyDescent="0.2">
      <c r="A1120" s="1">
        <v>45877</v>
      </c>
      <c r="B1120">
        <v>5</v>
      </c>
      <c r="C1120" t="s">
        <v>13</v>
      </c>
      <c r="D1120" s="2">
        <v>0.45763888888888887</v>
      </c>
      <c r="E1120">
        <v>23550.080000000002</v>
      </c>
      <c r="F1120" s="2">
        <v>0.46250000000000002</v>
      </c>
      <c r="G1120">
        <v>23566.560000000001</v>
      </c>
      <c r="H1120">
        <v>23566.560000000001</v>
      </c>
      <c r="I1120">
        <v>23508.86</v>
      </c>
      <c r="J1120" t="s">
        <v>15</v>
      </c>
      <c r="K1120">
        <v>-16.489999999999998</v>
      </c>
      <c r="L1120" s="9">
        <v>-1</v>
      </c>
      <c r="M1120">
        <v>0</v>
      </c>
      <c r="N1120">
        <f t="shared" si="34"/>
        <v>2</v>
      </c>
      <c r="O1120">
        <f t="shared" si="35"/>
        <v>0</v>
      </c>
    </row>
    <row r="1121" spans="1:15" x14ac:dyDescent="0.2">
      <c r="A1121" s="1">
        <v>45880</v>
      </c>
      <c r="B1121">
        <v>1</v>
      </c>
      <c r="C1121" t="s">
        <v>16</v>
      </c>
      <c r="D1121" s="2">
        <v>0.41041666666666665</v>
      </c>
      <c r="E1121">
        <v>23622.34</v>
      </c>
      <c r="F1121" s="2">
        <v>0.41180555555555554</v>
      </c>
      <c r="G1121">
        <v>23605.81</v>
      </c>
      <c r="H1121">
        <v>23605.81</v>
      </c>
      <c r="I1121">
        <v>23663.68</v>
      </c>
      <c r="J1121" t="s">
        <v>15</v>
      </c>
      <c r="K1121">
        <v>-16.54</v>
      </c>
      <c r="L1121" s="9">
        <v>-1</v>
      </c>
      <c r="M1121">
        <v>0</v>
      </c>
      <c r="N1121">
        <f t="shared" si="34"/>
        <v>3</v>
      </c>
      <c r="O1121">
        <f t="shared" si="35"/>
        <v>0</v>
      </c>
    </row>
    <row r="1122" spans="1:15" x14ac:dyDescent="0.2">
      <c r="A1122" s="1">
        <v>45881</v>
      </c>
      <c r="B1122">
        <v>2</v>
      </c>
      <c r="C1122" t="s">
        <v>16</v>
      </c>
      <c r="D1122" s="2">
        <v>0.40416666666666667</v>
      </c>
      <c r="E1122">
        <v>23688.720000000001</v>
      </c>
      <c r="F1122" s="2">
        <v>0.40555555555555556</v>
      </c>
      <c r="G1122">
        <v>23672.14</v>
      </c>
      <c r="H1122">
        <v>23672.14</v>
      </c>
      <c r="I1122">
        <v>23730.18</v>
      </c>
      <c r="J1122" t="s">
        <v>15</v>
      </c>
      <c r="K1122">
        <v>-16.579999999999998</v>
      </c>
      <c r="L1122" s="9">
        <v>-1</v>
      </c>
      <c r="M1122">
        <v>0</v>
      </c>
      <c r="N1122">
        <f t="shared" si="34"/>
        <v>4</v>
      </c>
      <c r="O1122">
        <f t="shared" si="35"/>
        <v>0</v>
      </c>
    </row>
    <row r="1123" spans="1:15" x14ac:dyDescent="0.2">
      <c r="A1123" s="1">
        <v>45881</v>
      </c>
      <c r="B1123">
        <v>2</v>
      </c>
      <c r="C1123" t="s">
        <v>13</v>
      </c>
      <c r="D1123" s="2">
        <v>0.41805555555555557</v>
      </c>
      <c r="E1123">
        <v>23549.31</v>
      </c>
      <c r="F1123" s="2">
        <v>0.41944444444444445</v>
      </c>
      <c r="G1123">
        <v>23565.8</v>
      </c>
      <c r="H1123">
        <v>23565.8</v>
      </c>
      <c r="I1123">
        <v>23508.1</v>
      </c>
      <c r="J1123" t="s">
        <v>15</v>
      </c>
      <c r="K1123">
        <v>-16.48</v>
      </c>
      <c r="L1123" s="9">
        <v>-1</v>
      </c>
      <c r="M1123">
        <v>0</v>
      </c>
      <c r="N1123">
        <f t="shared" si="34"/>
        <v>5</v>
      </c>
      <c r="O1123">
        <f t="shared" si="35"/>
        <v>0</v>
      </c>
    </row>
    <row r="1124" spans="1:15" x14ac:dyDescent="0.2">
      <c r="A1124" s="1">
        <v>45881</v>
      </c>
      <c r="B1124">
        <v>2</v>
      </c>
      <c r="C1124" t="s">
        <v>16</v>
      </c>
      <c r="D1124" s="2">
        <v>0.43333333333333335</v>
      </c>
      <c r="E1124">
        <v>23644.080000000002</v>
      </c>
      <c r="F1124" s="2">
        <v>0.45902777777777776</v>
      </c>
      <c r="G1124">
        <v>23685.45</v>
      </c>
      <c r="H1124">
        <v>23627.52</v>
      </c>
      <c r="I1124">
        <v>23685.45</v>
      </c>
      <c r="J1124" t="s">
        <v>14</v>
      </c>
      <c r="K1124">
        <v>41.38</v>
      </c>
      <c r="L1124" s="9">
        <v>2.5</v>
      </c>
      <c r="M1124">
        <v>1</v>
      </c>
      <c r="N1124">
        <f t="shared" si="34"/>
        <v>0</v>
      </c>
      <c r="O1124">
        <f t="shared" si="35"/>
        <v>1</v>
      </c>
    </row>
    <row r="1125" spans="1:15" x14ac:dyDescent="0.2">
      <c r="A1125" s="1">
        <v>45882</v>
      </c>
      <c r="B1125">
        <v>3</v>
      </c>
      <c r="C1125" t="s">
        <v>16</v>
      </c>
      <c r="D1125" s="2">
        <v>0.39583333333333331</v>
      </c>
      <c r="E1125">
        <v>23937.75</v>
      </c>
      <c r="F1125" s="2">
        <v>0.41319444444444442</v>
      </c>
      <c r="G1125">
        <v>23920.99</v>
      </c>
      <c r="H1125">
        <v>23920.99</v>
      </c>
      <c r="I1125">
        <v>23979.64</v>
      </c>
      <c r="J1125" t="s">
        <v>15</v>
      </c>
      <c r="K1125">
        <v>-16.760000000000002</v>
      </c>
      <c r="L1125" s="9">
        <v>-1</v>
      </c>
      <c r="M1125">
        <v>0</v>
      </c>
      <c r="N1125">
        <f t="shared" si="34"/>
        <v>1</v>
      </c>
      <c r="O1125">
        <f t="shared" si="35"/>
        <v>0</v>
      </c>
    </row>
    <row r="1126" spans="1:15" x14ac:dyDescent="0.2">
      <c r="A1126" s="1">
        <v>45882</v>
      </c>
      <c r="B1126">
        <v>3</v>
      </c>
      <c r="C1126" t="s">
        <v>13</v>
      </c>
      <c r="D1126" s="2">
        <v>0.41875000000000001</v>
      </c>
      <c r="E1126">
        <v>23903.68</v>
      </c>
      <c r="F1126" s="2">
        <v>0.43472222222222223</v>
      </c>
      <c r="G1126">
        <v>23861.85</v>
      </c>
      <c r="H1126">
        <v>23920.42</v>
      </c>
      <c r="I1126">
        <v>23861.85</v>
      </c>
      <c r="J1126" t="s">
        <v>14</v>
      </c>
      <c r="K1126">
        <v>41.83</v>
      </c>
      <c r="L1126" s="9">
        <v>2.5</v>
      </c>
      <c r="M1126">
        <v>1</v>
      </c>
      <c r="N1126">
        <f t="shared" si="34"/>
        <v>0</v>
      </c>
      <c r="O1126">
        <f t="shared" si="35"/>
        <v>1</v>
      </c>
    </row>
    <row r="1127" spans="1:15" x14ac:dyDescent="0.2">
      <c r="A1127" s="1">
        <v>45883</v>
      </c>
      <c r="B1127">
        <v>4</v>
      </c>
      <c r="C1127" t="s">
        <v>16</v>
      </c>
      <c r="D1127" s="2">
        <v>0.40208333333333335</v>
      </c>
      <c r="E1127">
        <v>23809.07</v>
      </c>
      <c r="F1127" s="2">
        <v>0.41041666666666665</v>
      </c>
      <c r="G1127">
        <v>23850.73</v>
      </c>
      <c r="H1127">
        <v>23792.400000000001</v>
      </c>
      <c r="I1127">
        <v>23850.73</v>
      </c>
      <c r="J1127" t="s">
        <v>14</v>
      </c>
      <c r="K1127">
        <v>41.67</v>
      </c>
      <c r="L1127" s="9">
        <v>2.5</v>
      </c>
      <c r="M1127">
        <v>1</v>
      </c>
      <c r="N1127">
        <f t="shared" si="34"/>
        <v>0</v>
      </c>
      <c r="O1127">
        <f t="shared" si="35"/>
        <v>2</v>
      </c>
    </row>
    <row r="1128" spans="1:15" x14ac:dyDescent="0.2">
      <c r="A1128" s="1">
        <v>45883</v>
      </c>
      <c r="B1128">
        <v>4</v>
      </c>
      <c r="C1128" t="s">
        <v>16</v>
      </c>
      <c r="D1128" s="2">
        <v>0.43819444444444444</v>
      </c>
      <c r="E1128">
        <v>23861.19</v>
      </c>
      <c r="F1128" s="2">
        <v>0.44930555555555557</v>
      </c>
      <c r="G1128">
        <v>23902.95</v>
      </c>
      <c r="H1128">
        <v>23844.49</v>
      </c>
      <c r="I1128">
        <v>23902.95</v>
      </c>
      <c r="J1128" t="s">
        <v>14</v>
      </c>
      <c r="K1128">
        <v>41.76</v>
      </c>
      <c r="L1128" s="9">
        <v>2.5</v>
      </c>
      <c r="M1128">
        <v>1</v>
      </c>
      <c r="N1128">
        <f t="shared" si="34"/>
        <v>0</v>
      </c>
      <c r="O1128">
        <f t="shared" si="35"/>
        <v>3</v>
      </c>
    </row>
    <row r="1129" spans="1:15" x14ac:dyDescent="0.2">
      <c r="A1129" s="1">
        <v>45884</v>
      </c>
      <c r="B1129">
        <v>5</v>
      </c>
      <c r="C1129" t="s">
        <v>13</v>
      </c>
      <c r="D1129" s="2">
        <v>0.40416666666666667</v>
      </c>
      <c r="E1129">
        <v>23760.49</v>
      </c>
      <c r="F1129" s="2">
        <v>0.40694444444444444</v>
      </c>
      <c r="G1129">
        <v>23718.91</v>
      </c>
      <c r="H1129">
        <v>23777.119999999999</v>
      </c>
      <c r="I1129">
        <v>23718.91</v>
      </c>
      <c r="J1129" t="s">
        <v>14</v>
      </c>
      <c r="K1129">
        <v>41.58</v>
      </c>
      <c r="L1129" s="9">
        <v>2.5</v>
      </c>
      <c r="M1129">
        <v>1</v>
      </c>
      <c r="N1129">
        <f t="shared" si="34"/>
        <v>0</v>
      </c>
      <c r="O1129">
        <f t="shared" si="35"/>
        <v>4</v>
      </c>
    </row>
    <row r="1130" spans="1:15" x14ac:dyDescent="0.2">
      <c r="A1130" s="1">
        <v>45884</v>
      </c>
      <c r="B1130">
        <v>5</v>
      </c>
      <c r="C1130" t="s">
        <v>16</v>
      </c>
      <c r="D1130" s="2">
        <v>0.42638888888888887</v>
      </c>
      <c r="E1130">
        <v>23771.26</v>
      </c>
      <c r="F1130" s="2">
        <v>0.43402777777777779</v>
      </c>
      <c r="G1130">
        <v>23754.62</v>
      </c>
      <c r="H1130">
        <v>23754.62</v>
      </c>
      <c r="I1130">
        <v>23812.86</v>
      </c>
      <c r="J1130" t="s">
        <v>15</v>
      </c>
      <c r="K1130">
        <v>-16.64</v>
      </c>
      <c r="L1130" s="9">
        <v>-1</v>
      </c>
      <c r="M1130">
        <v>0</v>
      </c>
      <c r="N1130">
        <f t="shared" si="34"/>
        <v>1</v>
      </c>
      <c r="O1130">
        <f t="shared" si="35"/>
        <v>0</v>
      </c>
    </row>
    <row r="1131" spans="1:15" x14ac:dyDescent="0.2">
      <c r="A1131" s="1">
        <v>45884</v>
      </c>
      <c r="B1131">
        <v>5</v>
      </c>
      <c r="C1131" t="s">
        <v>13</v>
      </c>
      <c r="D1131" s="2">
        <v>0.45069444444444445</v>
      </c>
      <c r="E1131">
        <v>23727.439999999999</v>
      </c>
      <c r="F1131" s="2">
        <v>0.47083333333333333</v>
      </c>
      <c r="G1131">
        <v>23744.05</v>
      </c>
      <c r="H1131">
        <v>23744.05</v>
      </c>
      <c r="I1131">
        <v>23685.919999999998</v>
      </c>
      <c r="J1131" t="s">
        <v>15</v>
      </c>
      <c r="K1131">
        <v>-16.61</v>
      </c>
      <c r="L1131" s="9">
        <v>-1</v>
      </c>
      <c r="M1131">
        <v>0</v>
      </c>
      <c r="N1131">
        <f t="shared" si="34"/>
        <v>2</v>
      </c>
      <c r="O1131">
        <f t="shared" si="35"/>
        <v>0</v>
      </c>
    </row>
    <row r="1132" spans="1:15" x14ac:dyDescent="0.2">
      <c r="A1132" s="1">
        <v>45887</v>
      </c>
      <c r="B1132">
        <v>1</v>
      </c>
      <c r="C1132" t="s">
        <v>16</v>
      </c>
      <c r="D1132" s="2">
        <v>0.40069444444444446</v>
      </c>
      <c r="E1132">
        <v>23713.11</v>
      </c>
      <c r="F1132" s="2">
        <v>0.40347222222222223</v>
      </c>
      <c r="G1132">
        <v>23696.51</v>
      </c>
      <c r="H1132">
        <v>23696.51</v>
      </c>
      <c r="I1132">
        <v>23754.61</v>
      </c>
      <c r="J1132" t="s">
        <v>15</v>
      </c>
      <c r="K1132">
        <v>-16.600000000000001</v>
      </c>
      <c r="L1132" s="9">
        <v>-1</v>
      </c>
      <c r="M1132">
        <v>0</v>
      </c>
      <c r="N1132">
        <f t="shared" si="34"/>
        <v>3</v>
      </c>
      <c r="O1132">
        <f t="shared" si="35"/>
        <v>0</v>
      </c>
    </row>
    <row r="1133" spans="1:15" x14ac:dyDescent="0.2">
      <c r="A1133" s="1">
        <v>45887</v>
      </c>
      <c r="B1133">
        <v>1</v>
      </c>
      <c r="C1133" t="s">
        <v>13</v>
      </c>
      <c r="D1133" s="2">
        <v>0.41666666666666669</v>
      </c>
      <c r="E1133">
        <v>23663.52</v>
      </c>
      <c r="F1133" s="2">
        <v>0.41875000000000001</v>
      </c>
      <c r="G1133">
        <v>23680.080000000002</v>
      </c>
      <c r="H1133">
        <v>23680.080000000002</v>
      </c>
      <c r="I1133">
        <v>23622.11</v>
      </c>
      <c r="J1133" t="s">
        <v>15</v>
      </c>
      <c r="K1133">
        <v>-16.559999999999999</v>
      </c>
      <c r="L1133" s="9">
        <v>-1</v>
      </c>
      <c r="M1133">
        <v>0</v>
      </c>
      <c r="N1133">
        <f t="shared" si="34"/>
        <v>4</v>
      </c>
      <c r="O1133">
        <f t="shared" si="35"/>
        <v>0</v>
      </c>
    </row>
    <row r="1134" spans="1:15" x14ac:dyDescent="0.2">
      <c r="A1134" s="1">
        <v>45887</v>
      </c>
      <c r="B1134">
        <v>1</v>
      </c>
      <c r="C1134" t="s">
        <v>16</v>
      </c>
      <c r="D1134" s="2">
        <v>0.43611111111111112</v>
      </c>
      <c r="E1134">
        <v>23720.83</v>
      </c>
      <c r="F1134" s="2">
        <v>0.43680555555555556</v>
      </c>
      <c r="G1134">
        <v>23704.22</v>
      </c>
      <c r="H1134">
        <v>23704.22</v>
      </c>
      <c r="I1134">
        <v>23762.34</v>
      </c>
      <c r="J1134" t="s">
        <v>15</v>
      </c>
      <c r="K1134">
        <v>-16.600000000000001</v>
      </c>
      <c r="L1134" s="9">
        <v>-1</v>
      </c>
      <c r="M1134">
        <v>0</v>
      </c>
      <c r="N1134">
        <f t="shared" si="34"/>
        <v>5</v>
      </c>
      <c r="O1134">
        <f t="shared" si="35"/>
        <v>0</v>
      </c>
    </row>
    <row r="1135" spans="1:15" x14ac:dyDescent="0.2">
      <c r="A1135" s="1">
        <v>45888</v>
      </c>
      <c r="B1135">
        <v>2</v>
      </c>
      <c r="C1135" t="s">
        <v>13</v>
      </c>
      <c r="D1135" s="2">
        <v>0.40972222222222221</v>
      </c>
      <c r="E1135">
        <v>23571.57</v>
      </c>
      <c r="F1135" s="2">
        <v>0.41180555555555554</v>
      </c>
      <c r="G1135">
        <v>23588.07</v>
      </c>
      <c r="H1135">
        <v>23588.07</v>
      </c>
      <c r="I1135">
        <v>23530.32</v>
      </c>
      <c r="J1135" t="s">
        <v>15</v>
      </c>
      <c r="K1135">
        <v>-16.5</v>
      </c>
      <c r="L1135" s="9">
        <v>-1</v>
      </c>
      <c r="M1135">
        <v>0</v>
      </c>
      <c r="N1135">
        <f t="shared" si="34"/>
        <v>6</v>
      </c>
      <c r="O1135">
        <f t="shared" si="35"/>
        <v>0</v>
      </c>
    </row>
    <row r="1136" spans="1:15" x14ac:dyDescent="0.2">
      <c r="A1136" s="1">
        <v>45888</v>
      </c>
      <c r="B1136">
        <v>2</v>
      </c>
      <c r="C1136" t="s">
        <v>13</v>
      </c>
      <c r="D1136" s="2">
        <v>0.43888888888888888</v>
      </c>
      <c r="E1136">
        <v>23553.06</v>
      </c>
      <c r="F1136" s="2">
        <v>0.43958333333333333</v>
      </c>
      <c r="G1136">
        <v>23569.55</v>
      </c>
      <c r="H1136">
        <v>23569.55</v>
      </c>
      <c r="I1136">
        <v>23511.84</v>
      </c>
      <c r="J1136" t="s">
        <v>15</v>
      </c>
      <c r="K1136">
        <v>-16.489999999999998</v>
      </c>
      <c r="L1136" s="9">
        <v>-1</v>
      </c>
      <c r="M1136">
        <v>0</v>
      </c>
      <c r="N1136">
        <f t="shared" si="34"/>
        <v>7</v>
      </c>
      <c r="O1136">
        <f t="shared" si="35"/>
        <v>0</v>
      </c>
    </row>
    <row r="1137" spans="1:16" x14ac:dyDescent="0.2">
      <c r="A1137" s="1">
        <v>45889</v>
      </c>
      <c r="B1137">
        <v>3</v>
      </c>
      <c r="C1137" t="s">
        <v>13</v>
      </c>
      <c r="D1137" s="2">
        <v>0.40902777777777777</v>
      </c>
      <c r="E1137">
        <v>23213.74</v>
      </c>
      <c r="F1137" s="2">
        <v>0.40972222222222221</v>
      </c>
      <c r="G1137">
        <v>23173.119999999999</v>
      </c>
      <c r="H1137">
        <v>23229.99</v>
      </c>
      <c r="I1137">
        <v>23173.119999999999</v>
      </c>
      <c r="J1137" t="s">
        <v>14</v>
      </c>
      <c r="K1137">
        <v>40.619999999999997</v>
      </c>
      <c r="L1137" s="9">
        <v>2.5</v>
      </c>
      <c r="M1137">
        <v>1</v>
      </c>
      <c r="N1137">
        <f t="shared" si="34"/>
        <v>0</v>
      </c>
      <c r="O1137">
        <f t="shared" si="35"/>
        <v>1</v>
      </c>
    </row>
    <row r="1138" spans="1:16" x14ac:dyDescent="0.2">
      <c r="A1138" s="1">
        <v>45889</v>
      </c>
      <c r="B1138">
        <v>3</v>
      </c>
      <c r="C1138" t="s">
        <v>13</v>
      </c>
      <c r="D1138" s="2">
        <v>0.44236111111111109</v>
      </c>
      <c r="E1138">
        <v>23016.880000000001</v>
      </c>
      <c r="F1138" s="2">
        <v>0.44861111111111113</v>
      </c>
      <c r="G1138">
        <v>22976.6</v>
      </c>
      <c r="H1138">
        <v>23032.99</v>
      </c>
      <c r="I1138">
        <v>22976.6</v>
      </c>
      <c r="J1138" t="s">
        <v>14</v>
      </c>
      <c r="K1138">
        <v>40.28</v>
      </c>
      <c r="L1138" s="9">
        <v>2.5</v>
      </c>
      <c r="M1138">
        <v>1</v>
      </c>
      <c r="N1138">
        <f t="shared" si="34"/>
        <v>0</v>
      </c>
      <c r="O1138">
        <f t="shared" si="35"/>
        <v>2</v>
      </c>
    </row>
    <row r="1139" spans="1:16" x14ac:dyDescent="0.2">
      <c r="A1139" s="1">
        <v>45891</v>
      </c>
      <c r="B1139">
        <v>5</v>
      </c>
      <c r="C1139" t="s">
        <v>16</v>
      </c>
      <c r="D1139" s="2">
        <v>0.40694444444444444</v>
      </c>
      <c r="E1139">
        <v>23238.880000000001</v>
      </c>
      <c r="F1139" s="2">
        <v>0.41388888888888886</v>
      </c>
      <c r="G1139">
        <v>23222.61</v>
      </c>
      <c r="H1139">
        <v>23222.61</v>
      </c>
      <c r="I1139">
        <v>23279.55</v>
      </c>
      <c r="J1139" t="s">
        <v>15</v>
      </c>
      <c r="K1139">
        <v>-16.27</v>
      </c>
      <c r="L1139" s="9">
        <v>-1</v>
      </c>
      <c r="M1139">
        <v>0</v>
      </c>
      <c r="N1139">
        <f t="shared" si="34"/>
        <v>1</v>
      </c>
      <c r="O1139">
        <f t="shared" si="35"/>
        <v>0</v>
      </c>
    </row>
    <row r="1140" spans="1:16" x14ac:dyDescent="0.2">
      <c r="A1140" s="1">
        <v>45891</v>
      </c>
      <c r="B1140">
        <v>5</v>
      </c>
      <c r="C1140" t="s">
        <v>16</v>
      </c>
      <c r="D1140" s="2">
        <v>0.42152777777777778</v>
      </c>
      <c r="E1140">
        <v>23425.200000000001</v>
      </c>
      <c r="F1140" s="2">
        <v>0.42222222222222222</v>
      </c>
      <c r="G1140">
        <v>23466.19</v>
      </c>
      <c r="H1140">
        <v>23408.799999999999</v>
      </c>
      <c r="I1140">
        <v>23466.19</v>
      </c>
      <c r="J1140" t="s">
        <v>14</v>
      </c>
      <c r="K1140">
        <v>40.99</v>
      </c>
      <c r="L1140" s="9">
        <v>2.5</v>
      </c>
      <c r="M1140">
        <v>1</v>
      </c>
      <c r="N1140">
        <f t="shared" si="34"/>
        <v>0</v>
      </c>
      <c r="O1140">
        <f t="shared" si="35"/>
        <v>1</v>
      </c>
    </row>
    <row r="1141" spans="1:16" x14ac:dyDescent="0.2">
      <c r="A1141" s="1">
        <v>45891</v>
      </c>
      <c r="B1141">
        <v>5</v>
      </c>
      <c r="C1141" t="s">
        <v>16</v>
      </c>
      <c r="D1141" s="2">
        <v>0.44374999999999998</v>
      </c>
      <c r="E1141">
        <v>23522.43</v>
      </c>
      <c r="F1141" s="2">
        <v>0.44861111111111113</v>
      </c>
      <c r="G1141">
        <v>23563.599999999999</v>
      </c>
      <c r="H1141">
        <v>23505.97</v>
      </c>
      <c r="I1141">
        <v>23563.599999999999</v>
      </c>
      <c r="J1141" t="s">
        <v>14</v>
      </c>
      <c r="K1141">
        <v>41.16</v>
      </c>
      <c r="L1141" s="9">
        <v>2.5</v>
      </c>
      <c r="M1141">
        <v>1</v>
      </c>
      <c r="N1141">
        <f t="shared" si="34"/>
        <v>0</v>
      </c>
      <c r="O1141">
        <f t="shared" si="35"/>
        <v>2</v>
      </c>
    </row>
    <row r="1142" spans="1:16" x14ac:dyDescent="0.2">
      <c r="A1142" s="1">
        <v>45894</v>
      </c>
      <c r="B1142">
        <v>1</v>
      </c>
      <c r="C1142" t="s">
        <v>16</v>
      </c>
      <c r="D1142" s="2">
        <v>0.39583333333333331</v>
      </c>
      <c r="E1142">
        <v>23427.07</v>
      </c>
      <c r="F1142" s="2">
        <v>0.39652777777777776</v>
      </c>
      <c r="G1142">
        <v>23410.67</v>
      </c>
      <c r="H1142">
        <v>23410.67</v>
      </c>
      <c r="I1142">
        <v>23468.07</v>
      </c>
      <c r="J1142" t="s">
        <v>15</v>
      </c>
      <c r="K1142">
        <v>-16.399999999999999</v>
      </c>
      <c r="L1142" s="9">
        <v>-1</v>
      </c>
      <c r="M1142">
        <v>0</v>
      </c>
      <c r="N1142">
        <f t="shared" si="34"/>
        <v>1</v>
      </c>
      <c r="O1142">
        <f t="shared" si="35"/>
        <v>0</v>
      </c>
    </row>
    <row r="1143" spans="1:16" x14ac:dyDescent="0.2">
      <c r="A1143" s="1">
        <v>45894</v>
      </c>
      <c r="B1143">
        <v>1</v>
      </c>
      <c r="C1143" t="s">
        <v>16</v>
      </c>
      <c r="D1143" s="2">
        <v>0.41875000000000001</v>
      </c>
      <c r="E1143">
        <v>23451.07</v>
      </c>
      <c r="F1143" s="2">
        <v>0.42777777777777776</v>
      </c>
      <c r="G1143">
        <v>23492.11</v>
      </c>
      <c r="H1143">
        <v>23434.66</v>
      </c>
      <c r="I1143">
        <v>23492.11</v>
      </c>
      <c r="J1143" t="s">
        <v>14</v>
      </c>
      <c r="K1143">
        <v>41.04</v>
      </c>
      <c r="L1143" s="9">
        <v>2.5</v>
      </c>
      <c r="M1143">
        <v>1</v>
      </c>
      <c r="N1143">
        <f t="shared" si="34"/>
        <v>0</v>
      </c>
      <c r="O1143">
        <f t="shared" si="35"/>
        <v>1</v>
      </c>
    </row>
    <row r="1144" spans="1:16" x14ac:dyDescent="0.2">
      <c r="A1144" s="1">
        <v>45895</v>
      </c>
      <c r="B1144">
        <v>2</v>
      </c>
      <c r="C1144" t="s">
        <v>16</v>
      </c>
      <c r="D1144" s="2">
        <v>0.4</v>
      </c>
      <c r="E1144">
        <v>23429.41</v>
      </c>
      <c r="F1144" s="2">
        <v>0.40069444444444446</v>
      </c>
      <c r="G1144">
        <v>23413.01</v>
      </c>
      <c r="H1144">
        <v>23413.01</v>
      </c>
      <c r="I1144">
        <v>23470.41</v>
      </c>
      <c r="J1144" t="s">
        <v>15</v>
      </c>
      <c r="K1144">
        <v>-16.399999999999999</v>
      </c>
      <c r="L1144" s="9">
        <v>-1</v>
      </c>
      <c r="M1144">
        <v>0</v>
      </c>
      <c r="N1144">
        <f t="shared" si="34"/>
        <v>1</v>
      </c>
      <c r="O1144">
        <f t="shared" si="35"/>
        <v>0</v>
      </c>
    </row>
    <row r="1145" spans="1:16" x14ac:dyDescent="0.2">
      <c r="A1145" s="1">
        <v>45895</v>
      </c>
      <c r="B1145">
        <v>2</v>
      </c>
      <c r="C1145" t="s">
        <v>16</v>
      </c>
      <c r="D1145" s="2">
        <v>0.42986111111111114</v>
      </c>
      <c r="E1145">
        <v>23449.49</v>
      </c>
      <c r="F1145" s="2">
        <v>0.48194444444444445</v>
      </c>
      <c r="G1145">
        <v>23433.08</v>
      </c>
      <c r="H1145">
        <v>23433.08</v>
      </c>
      <c r="I1145">
        <v>23490.53</v>
      </c>
      <c r="J1145" t="s">
        <v>15</v>
      </c>
      <c r="K1145">
        <v>-16.41</v>
      </c>
      <c r="L1145" s="9">
        <v>-1</v>
      </c>
      <c r="M1145">
        <v>0</v>
      </c>
      <c r="N1145">
        <f t="shared" si="34"/>
        <v>2</v>
      </c>
      <c r="O1145">
        <f t="shared" si="35"/>
        <v>0</v>
      </c>
    </row>
    <row r="1146" spans="1:16" x14ac:dyDescent="0.2">
      <c r="A1146" s="1">
        <v>45896</v>
      </c>
      <c r="B1146">
        <v>3</v>
      </c>
      <c r="C1146" t="s">
        <v>13</v>
      </c>
      <c r="D1146" s="2">
        <v>0.40763888888888888</v>
      </c>
      <c r="E1146">
        <v>23451.53</v>
      </c>
      <c r="F1146" s="2">
        <v>0.41249999999999998</v>
      </c>
      <c r="G1146">
        <v>23467.95</v>
      </c>
      <c r="H1146">
        <v>23467.95</v>
      </c>
      <c r="I1146">
        <v>23410.49</v>
      </c>
      <c r="J1146" t="s">
        <v>15</v>
      </c>
      <c r="K1146">
        <v>-16.420000000000002</v>
      </c>
      <c r="L1146" s="9">
        <v>-1</v>
      </c>
      <c r="M1146">
        <v>0</v>
      </c>
      <c r="N1146">
        <f t="shared" si="34"/>
        <v>3</v>
      </c>
      <c r="O1146">
        <f t="shared" si="35"/>
        <v>0</v>
      </c>
    </row>
    <row r="1147" spans="1:16" x14ac:dyDescent="0.2">
      <c r="A1147" s="1">
        <v>45896</v>
      </c>
      <c r="B1147">
        <v>3</v>
      </c>
      <c r="C1147" t="s">
        <v>16</v>
      </c>
      <c r="D1147" s="2">
        <v>0.42430555555555555</v>
      </c>
      <c r="E1147">
        <v>23485.7</v>
      </c>
      <c r="F1147" s="2">
        <v>0.42986111111111114</v>
      </c>
      <c r="G1147">
        <v>23526.799999999999</v>
      </c>
      <c r="H1147">
        <v>23469.26</v>
      </c>
      <c r="I1147">
        <v>23526.799999999999</v>
      </c>
      <c r="J1147" t="s">
        <v>14</v>
      </c>
      <c r="K1147">
        <v>41.1</v>
      </c>
      <c r="L1147" s="9">
        <v>2.5</v>
      </c>
      <c r="M1147">
        <v>1</v>
      </c>
      <c r="N1147">
        <f t="shared" si="34"/>
        <v>0</v>
      </c>
      <c r="O1147">
        <f t="shared" si="35"/>
        <v>1</v>
      </c>
    </row>
    <row r="1148" spans="1:16" x14ac:dyDescent="0.2">
      <c r="A1148" s="1">
        <v>45897</v>
      </c>
      <c r="B1148">
        <v>4</v>
      </c>
      <c r="C1148" t="s">
        <v>16</v>
      </c>
      <c r="D1148" s="2">
        <v>0.44791666666666669</v>
      </c>
      <c r="E1148">
        <v>23627.25</v>
      </c>
      <c r="F1148" s="2">
        <v>0.46666666666666667</v>
      </c>
      <c r="G1148">
        <v>23668.6</v>
      </c>
      <c r="H1148">
        <v>23610.71</v>
      </c>
      <c r="I1148">
        <v>23668.6</v>
      </c>
      <c r="J1148" t="s">
        <v>14</v>
      </c>
      <c r="K1148">
        <v>41.35</v>
      </c>
      <c r="L1148" s="9">
        <v>2.5</v>
      </c>
      <c r="M1148">
        <v>1</v>
      </c>
      <c r="N1148">
        <f t="shared" si="34"/>
        <v>0</v>
      </c>
      <c r="O1148">
        <f t="shared" si="35"/>
        <v>2</v>
      </c>
    </row>
    <row r="1149" spans="1:16" x14ac:dyDescent="0.2">
      <c r="A1149" s="1">
        <v>45898</v>
      </c>
      <c r="B1149">
        <v>5</v>
      </c>
      <c r="C1149" t="s">
        <v>13</v>
      </c>
      <c r="D1149" s="2">
        <v>0.40069444444444446</v>
      </c>
      <c r="E1149">
        <v>23582.93</v>
      </c>
      <c r="F1149" s="2">
        <v>0.40277777777777779</v>
      </c>
      <c r="G1149">
        <v>23541.66</v>
      </c>
      <c r="H1149">
        <v>23599.439999999999</v>
      </c>
      <c r="I1149">
        <v>23541.66</v>
      </c>
      <c r="J1149" t="s">
        <v>14</v>
      </c>
      <c r="K1149">
        <v>41.27</v>
      </c>
      <c r="L1149" s="9">
        <v>2.5</v>
      </c>
      <c r="M1149">
        <v>1</v>
      </c>
      <c r="N1149">
        <f t="shared" si="34"/>
        <v>0</v>
      </c>
      <c r="O1149">
        <f t="shared" si="35"/>
        <v>3</v>
      </c>
    </row>
    <row r="1150" spans="1:16" x14ac:dyDescent="0.2">
      <c r="A1150" s="1">
        <v>45898</v>
      </c>
      <c r="B1150">
        <v>5</v>
      </c>
      <c r="C1150" t="s">
        <v>16</v>
      </c>
      <c r="D1150" s="2">
        <v>0.44513888888888886</v>
      </c>
      <c r="E1150">
        <v>23448.12</v>
      </c>
      <c r="F1150" s="2">
        <v>0.4465277777777778</v>
      </c>
      <c r="G1150">
        <v>23431.71</v>
      </c>
      <c r="H1150">
        <v>23431.71</v>
      </c>
      <c r="I1150">
        <v>23489.15</v>
      </c>
      <c r="J1150" t="s">
        <v>15</v>
      </c>
      <c r="K1150">
        <v>-16.41</v>
      </c>
      <c r="L1150" s="9">
        <v>-1</v>
      </c>
      <c r="M1150">
        <v>0</v>
      </c>
      <c r="N1150">
        <f t="shared" si="34"/>
        <v>1</v>
      </c>
      <c r="O1150">
        <f t="shared" si="35"/>
        <v>0</v>
      </c>
    </row>
    <row r="1151" spans="1:16" x14ac:dyDescent="0.2">
      <c r="A1151" s="1">
        <v>45898</v>
      </c>
      <c r="B1151">
        <v>5</v>
      </c>
      <c r="C1151" t="s">
        <v>13</v>
      </c>
      <c r="D1151" s="2">
        <v>0.45416666666666666</v>
      </c>
      <c r="E1151">
        <v>23383.16</v>
      </c>
      <c r="F1151" s="2">
        <v>0.45555555555555555</v>
      </c>
      <c r="G1151">
        <v>23399.53</v>
      </c>
      <c r="H1151">
        <v>23399.53</v>
      </c>
      <c r="I1151">
        <v>23342.240000000002</v>
      </c>
      <c r="J1151" t="s">
        <v>15</v>
      </c>
      <c r="K1151">
        <v>-16.37</v>
      </c>
      <c r="L1151" s="9">
        <v>-1</v>
      </c>
      <c r="M1151">
        <v>0</v>
      </c>
      <c r="N1151">
        <f t="shared" si="34"/>
        <v>2</v>
      </c>
      <c r="O1151">
        <f t="shared" si="35"/>
        <v>0</v>
      </c>
    </row>
    <row r="1152" spans="1:16" s="4" customFormat="1" x14ac:dyDescent="0.2">
      <c r="A1152" s="6">
        <v>45901</v>
      </c>
      <c r="B1152" s="7">
        <v>1</v>
      </c>
      <c r="C1152" s="7" t="s">
        <v>16</v>
      </c>
      <c r="D1152" s="8">
        <v>0.41249999999999998</v>
      </c>
      <c r="E1152" s="7">
        <v>23437.98</v>
      </c>
      <c r="F1152" s="8">
        <v>0.6479166666666667</v>
      </c>
      <c r="G1152" s="7">
        <v>23452.3</v>
      </c>
      <c r="H1152" s="7">
        <v>23421.57</v>
      </c>
      <c r="I1152" s="7">
        <v>23478.99</v>
      </c>
      <c r="J1152" s="7" t="s">
        <v>18</v>
      </c>
      <c r="K1152" s="7">
        <v>14.32</v>
      </c>
      <c r="L1152" s="10">
        <v>0.87311053900000002</v>
      </c>
      <c r="M1152" s="7">
        <v>0</v>
      </c>
      <c r="N1152" s="7">
        <f t="shared" si="34"/>
        <v>3</v>
      </c>
      <c r="O1152" s="7">
        <f t="shared" si="35"/>
        <v>0</v>
      </c>
      <c r="P1152" s="7"/>
    </row>
    <row r="1153" spans="1:16" x14ac:dyDescent="0.2">
      <c r="A1153" s="3">
        <v>45903</v>
      </c>
      <c r="B1153" s="4">
        <v>3</v>
      </c>
      <c r="C1153" s="4" t="s">
        <v>13</v>
      </c>
      <c r="D1153" s="5">
        <v>0.40208333333333335</v>
      </c>
      <c r="E1153" s="4">
        <v>23350.42</v>
      </c>
      <c r="F1153" s="5">
        <v>0.40625</v>
      </c>
      <c r="G1153" s="4">
        <v>23366.76</v>
      </c>
      <c r="H1153" s="4">
        <v>23366.76</v>
      </c>
      <c r="I1153" s="4">
        <v>23309.55</v>
      </c>
      <c r="J1153" s="4" t="s">
        <v>15</v>
      </c>
      <c r="K1153" s="4">
        <v>-16.350000000000001</v>
      </c>
      <c r="L1153" s="11">
        <v>-1</v>
      </c>
      <c r="M1153" s="4">
        <v>0</v>
      </c>
      <c r="N1153" s="4">
        <f t="shared" si="34"/>
        <v>4</v>
      </c>
      <c r="O1153" s="4">
        <f t="shared" si="35"/>
        <v>0</v>
      </c>
      <c r="P1153" s="4"/>
    </row>
    <row r="1154" spans="1:16" x14ac:dyDescent="0.2">
      <c r="A1154" s="3">
        <v>45903</v>
      </c>
      <c r="B1154" s="4">
        <v>3</v>
      </c>
      <c r="C1154" s="4" t="s">
        <v>16</v>
      </c>
      <c r="D1154" s="5">
        <v>0.43541666666666667</v>
      </c>
      <c r="E1154" s="4">
        <v>23413.98</v>
      </c>
      <c r="F1154" s="5">
        <v>0.43680555555555556</v>
      </c>
      <c r="G1154" s="4">
        <v>23397.59</v>
      </c>
      <c r="H1154" s="4">
        <v>23397.59</v>
      </c>
      <c r="I1154" s="4" t="s">
        <v>23</v>
      </c>
      <c r="J1154" s="4" t="s">
        <v>15</v>
      </c>
      <c r="K1154" s="4">
        <v>-16.39</v>
      </c>
      <c r="L1154" s="11">
        <v>-1</v>
      </c>
      <c r="M1154" s="4">
        <v>0</v>
      </c>
      <c r="N1154" s="4">
        <f t="shared" ref="N1154:N1217" si="36">IF(M1154=0, IF(M1153=0, N1153+1, 1), 0)</f>
        <v>5</v>
      </c>
      <c r="O1154" s="4">
        <f t="shared" ref="O1154:O1217" si="37">IF(M1154=1, IF(M1153=1, O1153+1, 1), 0)</f>
        <v>0</v>
      </c>
      <c r="P1154" s="4"/>
    </row>
    <row r="1155" spans="1:16" x14ac:dyDescent="0.2">
      <c r="A1155" s="1">
        <v>45905</v>
      </c>
      <c r="B1155">
        <v>5</v>
      </c>
      <c r="C1155" t="s">
        <v>13</v>
      </c>
      <c r="D1155" s="2">
        <v>0.40208333333333335</v>
      </c>
      <c r="E1155">
        <v>23800.33</v>
      </c>
      <c r="F1155" s="2">
        <v>0.40347222222222223</v>
      </c>
      <c r="G1155">
        <v>23816.99</v>
      </c>
      <c r="H1155">
        <v>23816.99</v>
      </c>
      <c r="I1155">
        <v>23758.68</v>
      </c>
      <c r="J1155" t="s">
        <v>15</v>
      </c>
      <c r="K1155">
        <v>-16.66</v>
      </c>
      <c r="L1155" s="9">
        <v>-1</v>
      </c>
      <c r="M1155">
        <v>0</v>
      </c>
      <c r="N1155">
        <f t="shared" si="36"/>
        <v>6</v>
      </c>
      <c r="O1155">
        <f t="shared" si="37"/>
        <v>0</v>
      </c>
    </row>
    <row r="1156" spans="1:16" x14ac:dyDescent="0.2">
      <c r="A1156" s="1">
        <v>45905</v>
      </c>
      <c r="B1156">
        <v>5</v>
      </c>
      <c r="C1156" t="s">
        <v>13</v>
      </c>
      <c r="D1156" s="2">
        <v>0.4236111111111111</v>
      </c>
      <c r="E1156">
        <v>23760.43</v>
      </c>
      <c r="F1156" s="2">
        <v>0.42638888888888887</v>
      </c>
      <c r="G1156">
        <v>23718.85</v>
      </c>
      <c r="H1156">
        <v>23777.06</v>
      </c>
      <c r="I1156">
        <v>23718.85</v>
      </c>
      <c r="J1156" t="s">
        <v>14</v>
      </c>
      <c r="K1156">
        <v>41.58</v>
      </c>
      <c r="L1156" s="9">
        <v>2.5</v>
      </c>
      <c r="M1156">
        <v>1</v>
      </c>
      <c r="N1156">
        <f t="shared" si="36"/>
        <v>0</v>
      </c>
      <c r="O1156">
        <f t="shared" si="37"/>
        <v>1</v>
      </c>
    </row>
    <row r="1157" spans="1:16" x14ac:dyDescent="0.2">
      <c r="A1157" s="1">
        <v>45908</v>
      </c>
      <c r="B1157">
        <v>1</v>
      </c>
      <c r="C1157" t="s">
        <v>16</v>
      </c>
      <c r="D1157" s="2">
        <v>0.40138888888888891</v>
      </c>
      <c r="E1157">
        <v>23787.06</v>
      </c>
      <c r="F1157" s="2">
        <v>0.40208333333333335</v>
      </c>
      <c r="G1157">
        <v>23770.41</v>
      </c>
      <c r="H1157">
        <v>23770.41</v>
      </c>
      <c r="I1157">
        <v>23828.69</v>
      </c>
      <c r="J1157" t="s">
        <v>15</v>
      </c>
      <c r="K1157">
        <v>-16.649999999999999</v>
      </c>
      <c r="L1157" s="9">
        <v>-1</v>
      </c>
      <c r="M1157">
        <v>0</v>
      </c>
      <c r="N1157">
        <f t="shared" si="36"/>
        <v>1</v>
      </c>
      <c r="O1157">
        <f t="shared" si="37"/>
        <v>0</v>
      </c>
    </row>
    <row r="1158" spans="1:16" x14ac:dyDescent="0.2">
      <c r="A1158" s="1">
        <v>45908</v>
      </c>
      <c r="B1158">
        <v>1</v>
      </c>
      <c r="C1158" t="s">
        <v>16</v>
      </c>
      <c r="D1158" s="2">
        <v>0.44513888888888886</v>
      </c>
      <c r="E1158">
        <v>23834.080000000002</v>
      </c>
      <c r="F1158" s="2">
        <v>0.47083333333333333</v>
      </c>
      <c r="G1158">
        <v>23817.4</v>
      </c>
      <c r="H1158">
        <v>23817.4</v>
      </c>
      <c r="I1158">
        <v>23875.79</v>
      </c>
      <c r="J1158" t="s">
        <v>15</v>
      </c>
      <c r="K1158">
        <v>-16.68</v>
      </c>
      <c r="L1158" s="9">
        <v>-1</v>
      </c>
      <c r="M1158">
        <v>0</v>
      </c>
      <c r="N1158">
        <f t="shared" si="36"/>
        <v>2</v>
      </c>
      <c r="O1158">
        <f t="shared" si="37"/>
        <v>0</v>
      </c>
    </row>
    <row r="1159" spans="1:16" x14ac:dyDescent="0.2">
      <c r="A1159" s="1">
        <v>45909</v>
      </c>
      <c r="B1159">
        <v>2</v>
      </c>
      <c r="C1159" t="s">
        <v>13</v>
      </c>
      <c r="D1159" s="2">
        <v>0.41944444444444445</v>
      </c>
      <c r="E1159">
        <v>23761.599999999999</v>
      </c>
      <c r="F1159" s="2">
        <v>0.42152777777777778</v>
      </c>
      <c r="G1159">
        <v>23778.240000000002</v>
      </c>
      <c r="H1159">
        <v>23778.240000000002</v>
      </c>
      <c r="I1159">
        <v>23720.02</v>
      </c>
      <c r="J1159" t="s">
        <v>15</v>
      </c>
      <c r="K1159">
        <v>-16.63</v>
      </c>
      <c r="L1159" s="9">
        <v>-1</v>
      </c>
      <c r="M1159">
        <v>0</v>
      </c>
      <c r="N1159">
        <f t="shared" si="36"/>
        <v>3</v>
      </c>
      <c r="O1159">
        <f t="shared" si="37"/>
        <v>0</v>
      </c>
    </row>
    <row r="1160" spans="1:16" x14ac:dyDescent="0.2">
      <c r="A1160" s="1">
        <v>45909</v>
      </c>
      <c r="B1160">
        <v>2</v>
      </c>
      <c r="C1160" t="s">
        <v>13</v>
      </c>
      <c r="D1160" s="2">
        <v>0.44305555555555554</v>
      </c>
      <c r="E1160">
        <v>23717.73</v>
      </c>
      <c r="F1160" s="2">
        <v>0.45277777777777778</v>
      </c>
      <c r="G1160">
        <v>23734.33</v>
      </c>
      <c r="H1160">
        <v>23734.33</v>
      </c>
      <c r="I1160">
        <v>23676.23</v>
      </c>
      <c r="J1160" t="s">
        <v>15</v>
      </c>
      <c r="K1160">
        <v>-16.600000000000001</v>
      </c>
      <c r="L1160" s="9">
        <v>-1</v>
      </c>
      <c r="M1160">
        <v>0</v>
      </c>
      <c r="N1160">
        <f t="shared" si="36"/>
        <v>4</v>
      </c>
      <c r="O1160">
        <f t="shared" si="37"/>
        <v>0</v>
      </c>
    </row>
    <row r="1161" spans="1:16" x14ac:dyDescent="0.2">
      <c r="A1161" s="1">
        <v>45910</v>
      </c>
      <c r="B1161">
        <v>3</v>
      </c>
      <c r="C1161" t="s">
        <v>13</v>
      </c>
      <c r="D1161" s="2">
        <v>0.40486111111111112</v>
      </c>
      <c r="E1161">
        <v>23904.52</v>
      </c>
      <c r="F1161" s="2">
        <v>0.40555555555555556</v>
      </c>
      <c r="G1161">
        <v>23921.25</v>
      </c>
      <c r="H1161">
        <v>23921.25</v>
      </c>
      <c r="I1161">
        <v>23862.68</v>
      </c>
      <c r="J1161" t="s">
        <v>15</v>
      </c>
      <c r="K1161">
        <v>-16.73</v>
      </c>
      <c r="L1161" s="9">
        <v>-1</v>
      </c>
      <c r="M1161">
        <v>0</v>
      </c>
      <c r="N1161">
        <f t="shared" si="36"/>
        <v>5</v>
      </c>
      <c r="O1161">
        <f t="shared" si="37"/>
        <v>0</v>
      </c>
    </row>
    <row r="1162" spans="1:16" x14ac:dyDescent="0.2">
      <c r="A1162" s="1">
        <v>45910</v>
      </c>
      <c r="B1162">
        <v>3</v>
      </c>
      <c r="C1162" t="s">
        <v>16</v>
      </c>
      <c r="D1162" s="2">
        <v>0.43472222222222223</v>
      </c>
      <c r="E1162">
        <v>23944.76</v>
      </c>
      <c r="F1162" s="2">
        <v>0.43680555555555556</v>
      </c>
      <c r="G1162">
        <v>23927.99</v>
      </c>
      <c r="H1162">
        <v>23927.99</v>
      </c>
      <c r="I1162">
        <v>23986.66</v>
      </c>
      <c r="J1162" t="s">
        <v>15</v>
      </c>
      <c r="K1162">
        <v>-16.760000000000002</v>
      </c>
      <c r="L1162" s="9">
        <v>-1</v>
      </c>
      <c r="M1162">
        <v>0</v>
      </c>
      <c r="N1162">
        <f t="shared" si="36"/>
        <v>6</v>
      </c>
      <c r="O1162">
        <f t="shared" si="37"/>
        <v>0</v>
      </c>
    </row>
    <row r="1163" spans="1:16" x14ac:dyDescent="0.2">
      <c r="A1163" s="1">
        <v>45910</v>
      </c>
      <c r="B1163">
        <v>3</v>
      </c>
      <c r="C1163" t="s">
        <v>16</v>
      </c>
      <c r="D1163" s="2">
        <v>0.45</v>
      </c>
      <c r="E1163">
        <v>23948.84</v>
      </c>
      <c r="F1163" s="2">
        <v>0.45416666666666666</v>
      </c>
      <c r="G1163">
        <v>23932.080000000002</v>
      </c>
      <c r="H1163">
        <v>23932.080000000002</v>
      </c>
      <c r="I1163">
        <v>23990.75</v>
      </c>
      <c r="J1163" t="s">
        <v>15</v>
      </c>
      <c r="K1163">
        <v>-16.760000000000002</v>
      </c>
      <c r="L1163" s="9">
        <v>-1</v>
      </c>
      <c r="M1163">
        <v>0</v>
      </c>
      <c r="N1163">
        <f t="shared" si="36"/>
        <v>7</v>
      </c>
      <c r="O1163">
        <f t="shared" si="37"/>
        <v>0</v>
      </c>
    </row>
    <row r="1164" spans="1:16" x14ac:dyDescent="0.2">
      <c r="A1164" s="1">
        <v>45911</v>
      </c>
      <c r="B1164">
        <v>4</v>
      </c>
      <c r="C1164" t="s">
        <v>16</v>
      </c>
      <c r="D1164" s="2">
        <v>0.39652777777777776</v>
      </c>
      <c r="E1164">
        <v>23948.55</v>
      </c>
      <c r="F1164" s="2">
        <v>0.4</v>
      </c>
      <c r="G1164">
        <v>23931.78</v>
      </c>
      <c r="H1164">
        <v>23931.78</v>
      </c>
      <c r="I1164">
        <v>23990.46</v>
      </c>
      <c r="J1164" t="s">
        <v>15</v>
      </c>
      <c r="K1164">
        <v>-16.760000000000002</v>
      </c>
      <c r="L1164" s="9">
        <v>-1</v>
      </c>
      <c r="M1164">
        <v>0</v>
      </c>
      <c r="N1164">
        <f t="shared" si="36"/>
        <v>8</v>
      </c>
      <c r="O1164">
        <f t="shared" si="37"/>
        <v>0</v>
      </c>
    </row>
    <row r="1165" spans="1:16" x14ac:dyDescent="0.2">
      <c r="A1165" s="1">
        <v>45911</v>
      </c>
      <c r="B1165">
        <v>4</v>
      </c>
      <c r="C1165" t="s">
        <v>16</v>
      </c>
      <c r="D1165" s="2">
        <v>0.42291666666666666</v>
      </c>
      <c r="E1165">
        <v>23964.240000000002</v>
      </c>
      <c r="F1165" s="2">
        <v>0.4236111111111111</v>
      </c>
      <c r="G1165">
        <v>23947.46</v>
      </c>
      <c r="H1165">
        <v>23947.46</v>
      </c>
      <c r="I1165">
        <v>24006.17</v>
      </c>
      <c r="J1165" t="s">
        <v>15</v>
      </c>
      <c r="K1165">
        <v>-16.77</v>
      </c>
      <c r="L1165" s="9">
        <v>-1</v>
      </c>
      <c r="M1165">
        <v>0</v>
      </c>
      <c r="N1165">
        <f t="shared" si="36"/>
        <v>9</v>
      </c>
      <c r="O1165">
        <f t="shared" si="37"/>
        <v>0</v>
      </c>
    </row>
    <row r="1166" spans="1:16" x14ac:dyDescent="0.2">
      <c r="A1166" s="1">
        <v>45911</v>
      </c>
      <c r="B1166">
        <v>4</v>
      </c>
      <c r="C1166" t="s">
        <v>16</v>
      </c>
      <c r="D1166" s="2">
        <v>0.44513888888888886</v>
      </c>
      <c r="E1166">
        <v>23980.41</v>
      </c>
      <c r="F1166" s="2">
        <v>0.45208333333333334</v>
      </c>
      <c r="G1166">
        <v>23963.62</v>
      </c>
      <c r="H1166">
        <v>23963.62</v>
      </c>
      <c r="I1166">
        <v>24022.37</v>
      </c>
      <c r="J1166" t="s">
        <v>15</v>
      </c>
      <c r="K1166">
        <v>-16.79</v>
      </c>
      <c r="L1166" s="9">
        <v>-1</v>
      </c>
      <c r="M1166">
        <v>0</v>
      </c>
      <c r="N1166">
        <f t="shared" si="36"/>
        <v>10</v>
      </c>
      <c r="O1166">
        <f t="shared" si="37"/>
        <v>0</v>
      </c>
    </row>
    <row r="1167" spans="1:16" x14ac:dyDescent="0.2">
      <c r="A1167" s="1">
        <v>45912</v>
      </c>
      <c r="B1167">
        <v>5</v>
      </c>
      <c r="C1167" t="s">
        <v>13</v>
      </c>
      <c r="D1167" s="2">
        <v>0.40277777777777779</v>
      </c>
      <c r="E1167">
        <v>23994.95</v>
      </c>
      <c r="F1167" s="2">
        <v>0.40555555555555556</v>
      </c>
      <c r="G1167">
        <v>24011.75</v>
      </c>
      <c r="H1167">
        <v>24011.75</v>
      </c>
      <c r="I1167">
        <v>23952.959999999999</v>
      </c>
      <c r="J1167" t="s">
        <v>15</v>
      </c>
      <c r="K1167">
        <v>-16.8</v>
      </c>
      <c r="L1167" s="9">
        <v>-1</v>
      </c>
      <c r="M1167">
        <v>0</v>
      </c>
      <c r="N1167">
        <f t="shared" si="36"/>
        <v>11</v>
      </c>
      <c r="O1167">
        <f t="shared" si="37"/>
        <v>0</v>
      </c>
    </row>
    <row r="1168" spans="1:16" x14ac:dyDescent="0.2">
      <c r="A1168" s="1">
        <v>45912</v>
      </c>
      <c r="B1168">
        <v>5</v>
      </c>
      <c r="C1168" t="s">
        <v>16</v>
      </c>
      <c r="D1168" s="2">
        <v>0.42083333333333334</v>
      </c>
      <c r="E1168">
        <v>24028.7</v>
      </c>
      <c r="F1168" s="2">
        <v>0.42569444444444443</v>
      </c>
      <c r="G1168">
        <v>24011.88</v>
      </c>
      <c r="H1168">
        <v>24011.88</v>
      </c>
      <c r="I1168">
        <v>24070.75</v>
      </c>
      <c r="J1168" t="s">
        <v>15</v>
      </c>
      <c r="K1168">
        <v>-16.82</v>
      </c>
      <c r="L1168" s="9">
        <v>-1</v>
      </c>
      <c r="M1168">
        <v>0</v>
      </c>
      <c r="N1168">
        <f t="shared" si="36"/>
        <v>12</v>
      </c>
      <c r="O1168">
        <f t="shared" si="37"/>
        <v>0</v>
      </c>
    </row>
    <row r="1169" spans="1:15" x14ac:dyDescent="0.2">
      <c r="A1169" s="1">
        <v>45912</v>
      </c>
      <c r="B1169">
        <v>5</v>
      </c>
      <c r="C1169" t="s">
        <v>16</v>
      </c>
      <c r="D1169" s="2">
        <v>0.43541666666666667</v>
      </c>
      <c r="E1169">
        <v>24048.37</v>
      </c>
      <c r="F1169" s="2">
        <v>0.4548611111111111</v>
      </c>
      <c r="G1169">
        <v>24090.45</v>
      </c>
      <c r="H1169">
        <v>24031.53</v>
      </c>
      <c r="I1169">
        <v>24090.45</v>
      </c>
      <c r="J1169" t="s">
        <v>14</v>
      </c>
      <c r="K1169">
        <v>42.08</v>
      </c>
      <c r="L1169" s="9">
        <v>2.5</v>
      </c>
      <c r="M1169">
        <v>1</v>
      </c>
      <c r="N1169">
        <f t="shared" si="36"/>
        <v>0</v>
      </c>
      <c r="O1169">
        <f t="shared" si="37"/>
        <v>1</v>
      </c>
    </row>
    <row r="1170" spans="1:15" x14ac:dyDescent="0.2">
      <c r="A1170" s="1">
        <v>45915</v>
      </c>
      <c r="B1170">
        <v>1</v>
      </c>
      <c r="C1170" t="s">
        <v>16</v>
      </c>
      <c r="D1170" s="2">
        <v>0.39791666666666664</v>
      </c>
      <c r="E1170">
        <v>24171.93</v>
      </c>
      <c r="F1170" s="2">
        <v>0.40972222222222221</v>
      </c>
      <c r="G1170">
        <v>24214.23</v>
      </c>
      <c r="H1170">
        <v>24155.01</v>
      </c>
      <c r="I1170">
        <v>24214.23</v>
      </c>
      <c r="J1170" t="s">
        <v>14</v>
      </c>
      <c r="K1170">
        <v>42.3</v>
      </c>
      <c r="L1170" s="9">
        <v>2.5</v>
      </c>
      <c r="M1170">
        <v>1</v>
      </c>
      <c r="N1170">
        <f t="shared" si="36"/>
        <v>0</v>
      </c>
      <c r="O1170">
        <f t="shared" si="37"/>
        <v>2</v>
      </c>
    </row>
    <row r="1171" spans="1:15" x14ac:dyDescent="0.2">
      <c r="A1171" s="1">
        <v>45915</v>
      </c>
      <c r="B1171">
        <v>1</v>
      </c>
      <c r="C1171" t="s">
        <v>16</v>
      </c>
      <c r="D1171" s="2">
        <v>0.44791666666666669</v>
      </c>
      <c r="E1171">
        <v>24236.85</v>
      </c>
      <c r="F1171" s="2">
        <v>0.64583333333333337</v>
      </c>
      <c r="G1171">
        <v>24253.599999999999</v>
      </c>
      <c r="H1171">
        <v>24219.88</v>
      </c>
      <c r="I1171">
        <v>24279.26</v>
      </c>
      <c r="J1171" t="s">
        <v>18</v>
      </c>
      <c r="K1171">
        <v>16.75</v>
      </c>
      <c r="L1171" s="9">
        <v>0.98736179999999996</v>
      </c>
      <c r="M1171">
        <v>0</v>
      </c>
      <c r="N1171">
        <f t="shared" si="36"/>
        <v>1</v>
      </c>
      <c r="O1171">
        <f t="shared" si="37"/>
        <v>0</v>
      </c>
    </row>
    <row r="1172" spans="1:15" x14ac:dyDescent="0.2">
      <c r="A1172" s="1">
        <v>45916</v>
      </c>
      <c r="B1172">
        <v>2</v>
      </c>
      <c r="C1172" t="s">
        <v>13</v>
      </c>
      <c r="D1172" s="2">
        <v>0.4</v>
      </c>
      <c r="E1172">
        <v>24317.96</v>
      </c>
      <c r="F1172" s="2">
        <v>0.41041666666666665</v>
      </c>
      <c r="G1172">
        <v>24275.4</v>
      </c>
      <c r="H1172">
        <v>24334.98</v>
      </c>
      <c r="I1172">
        <v>24275.4</v>
      </c>
      <c r="J1172" t="s">
        <v>14</v>
      </c>
      <c r="K1172">
        <v>42.56</v>
      </c>
      <c r="L1172" s="9">
        <v>2.5</v>
      </c>
      <c r="M1172">
        <v>1</v>
      </c>
      <c r="N1172">
        <f t="shared" si="36"/>
        <v>0</v>
      </c>
      <c r="O1172">
        <f t="shared" si="37"/>
        <v>1</v>
      </c>
    </row>
    <row r="1173" spans="1:15" x14ac:dyDescent="0.2">
      <c r="A1173" s="1">
        <v>45918</v>
      </c>
      <c r="B1173">
        <v>4</v>
      </c>
      <c r="C1173" t="s">
        <v>13</v>
      </c>
      <c r="D1173" s="2">
        <v>0.40763888888888888</v>
      </c>
      <c r="E1173">
        <v>24377.27</v>
      </c>
      <c r="F1173" s="2">
        <v>0.40902777777777777</v>
      </c>
      <c r="G1173">
        <v>24394.33</v>
      </c>
      <c r="H1173">
        <v>24394.33</v>
      </c>
      <c r="I1173">
        <v>24334.61</v>
      </c>
      <c r="J1173" t="s">
        <v>15</v>
      </c>
      <c r="K1173">
        <v>-17.059999999999999</v>
      </c>
      <c r="L1173" s="9">
        <v>-1</v>
      </c>
      <c r="M1173">
        <v>0</v>
      </c>
      <c r="N1173">
        <f t="shared" si="36"/>
        <v>1</v>
      </c>
      <c r="O1173">
        <f t="shared" si="37"/>
        <v>0</v>
      </c>
    </row>
    <row r="1174" spans="1:15" x14ac:dyDescent="0.2">
      <c r="A1174" s="1">
        <v>45918</v>
      </c>
      <c r="B1174">
        <v>4</v>
      </c>
      <c r="C1174" t="s">
        <v>16</v>
      </c>
      <c r="D1174" s="2">
        <v>0.42430555555555555</v>
      </c>
      <c r="E1174">
        <v>24497.7</v>
      </c>
      <c r="F1174" s="2">
        <v>0.4375</v>
      </c>
      <c r="G1174">
        <v>24540.57</v>
      </c>
      <c r="H1174">
        <v>24480.55</v>
      </c>
      <c r="I1174">
        <v>24540.57</v>
      </c>
      <c r="J1174" t="s">
        <v>14</v>
      </c>
      <c r="K1174">
        <v>42.87</v>
      </c>
      <c r="L1174" s="9">
        <v>2.5</v>
      </c>
      <c r="M1174">
        <v>1</v>
      </c>
      <c r="N1174">
        <f t="shared" si="36"/>
        <v>0</v>
      </c>
      <c r="O1174">
        <f t="shared" si="37"/>
        <v>1</v>
      </c>
    </row>
    <row r="1175" spans="1:15" x14ac:dyDescent="0.2">
      <c r="A1175" s="1">
        <v>45918</v>
      </c>
      <c r="B1175">
        <v>4</v>
      </c>
      <c r="C1175" t="s">
        <v>13</v>
      </c>
      <c r="D1175" s="2">
        <v>0.4548611111111111</v>
      </c>
      <c r="E1175">
        <v>24506.25</v>
      </c>
      <c r="F1175" s="2">
        <v>0.46250000000000002</v>
      </c>
      <c r="G1175">
        <v>24523.41</v>
      </c>
      <c r="H1175">
        <v>24523.41</v>
      </c>
      <c r="I1175">
        <v>24463.37</v>
      </c>
      <c r="J1175" t="s">
        <v>15</v>
      </c>
      <c r="K1175">
        <v>-17.149999999999999</v>
      </c>
      <c r="L1175" s="9">
        <v>-1</v>
      </c>
      <c r="M1175">
        <v>0</v>
      </c>
      <c r="N1175">
        <f t="shared" si="36"/>
        <v>1</v>
      </c>
      <c r="O1175">
        <f t="shared" si="37"/>
        <v>0</v>
      </c>
    </row>
    <row r="1176" spans="1:15" x14ac:dyDescent="0.2">
      <c r="A1176" s="1">
        <v>45919</v>
      </c>
      <c r="B1176">
        <v>5</v>
      </c>
      <c r="C1176" t="s">
        <v>16</v>
      </c>
      <c r="D1176" s="2">
        <v>0.41249999999999998</v>
      </c>
      <c r="E1176">
        <v>24551.21</v>
      </c>
      <c r="F1176" s="2">
        <v>0.4236111111111111</v>
      </c>
      <c r="G1176">
        <v>24534.02</v>
      </c>
      <c r="H1176">
        <v>24534.02</v>
      </c>
      <c r="I1176">
        <v>24594.17</v>
      </c>
      <c r="J1176" t="s">
        <v>15</v>
      </c>
      <c r="K1176">
        <v>-17.190000000000001</v>
      </c>
      <c r="L1176" s="9">
        <v>-1</v>
      </c>
      <c r="M1176">
        <v>0</v>
      </c>
      <c r="N1176">
        <f t="shared" si="36"/>
        <v>2</v>
      </c>
      <c r="O1176">
        <f t="shared" si="37"/>
        <v>0</v>
      </c>
    </row>
    <row r="1177" spans="1:15" x14ac:dyDescent="0.2">
      <c r="A1177" s="1">
        <v>45919</v>
      </c>
      <c r="B1177">
        <v>5</v>
      </c>
      <c r="C1177" t="s">
        <v>13</v>
      </c>
      <c r="D1177" s="2">
        <v>0.44444444444444442</v>
      </c>
      <c r="E1177">
        <v>24527.16</v>
      </c>
      <c r="F1177" s="2">
        <v>0.46875</v>
      </c>
      <c r="G1177">
        <v>24484.240000000002</v>
      </c>
      <c r="H1177">
        <v>24544.33</v>
      </c>
      <c r="I1177">
        <v>24484.240000000002</v>
      </c>
      <c r="J1177" t="s">
        <v>14</v>
      </c>
      <c r="K1177">
        <v>42.92</v>
      </c>
      <c r="L1177" s="9">
        <v>2.5</v>
      </c>
      <c r="M1177">
        <v>1</v>
      </c>
      <c r="N1177">
        <f t="shared" si="36"/>
        <v>0</v>
      </c>
      <c r="O1177">
        <f t="shared" si="37"/>
        <v>1</v>
      </c>
    </row>
    <row r="1178" spans="1:15" x14ac:dyDescent="0.2">
      <c r="A1178" s="1">
        <v>45922</v>
      </c>
      <c r="B1178">
        <v>1</v>
      </c>
      <c r="C1178" t="s">
        <v>16</v>
      </c>
      <c r="D1178" s="2">
        <v>0.39930555555555558</v>
      </c>
      <c r="E1178">
        <v>24593.82</v>
      </c>
      <c r="F1178" s="2">
        <v>0.40347222222222223</v>
      </c>
      <c r="G1178">
        <v>24576.6</v>
      </c>
      <c r="H1178">
        <v>24576.6</v>
      </c>
      <c r="I1178">
        <v>24636.86</v>
      </c>
      <c r="J1178" t="s">
        <v>15</v>
      </c>
      <c r="K1178">
        <v>-17.22</v>
      </c>
      <c r="L1178" s="9">
        <v>-1</v>
      </c>
      <c r="M1178">
        <v>0</v>
      </c>
      <c r="N1178">
        <f t="shared" si="36"/>
        <v>1</v>
      </c>
      <c r="O1178">
        <f t="shared" si="37"/>
        <v>0</v>
      </c>
    </row>
    <row r="1179" spans="1:15" x14ac:dyDescent="0.2">
      <c r="A1179" s="1">
        <v>45922</v>
      </c>
      <c r="B1179">
        <v>1</v>
      </c>
      <c r="C1179" t="s">
        <v>16</v>
      </c>
      <c r="D1179" s="2">
        <v>0.43472222222222223</v>
      </c>
      <c r="E1179">
        <v>24637.81</v>
      </c>
      <c r="F1179" s="2">
        <v>0.45208333333333334</v>
      </c>
      <c r="G1179">
        <v>24680.93</v>
      </c>
      <c r="H1179">
        <v>24620.57</v>
      </c>
      <c r="I1179">
        <v>24680.93</v>
      </c>
      <c r="J1179" t="s">
        <v>14</v>
      </c>
      <c r="K1179">
        <v>43.12</v>
      </c>
      <c r="L1179" s="9">
        <v>2.5</v>
      </c>
      <c r="M1179">
        <v>1</v>
      </c>
      <c r="N1179">
        <f t="shared" si="36"/>
        <v>0</v>
      </c>
      <c r="O1179">
        <f t="shared" si="37"/>
        <v>1</v>
      </c>
    </row>
    <row r="1180" spans="1:15" x14ac:dyDescent="0.2">
      <c r="A1180" s="1">
        <v>45924</v>
      </c>
      <c r="B1180">
        <v>3</v>
      </c>
      <c r="C1180" t="s">
        <v>13</v>
      </c>
      <c r="D1180" s="2">
        <v>0.40208333333333335</v>
      </c>
      <c r="E1180">
        <v>24597.62</v>
      </c>
      <c r="F1180" s="2">
        <v>0.41041666666666665</v>
      </c>
      <c r="G1180">
        <v>24554.58</v>
      </c>
      <c r="H1180">
        <v>24614.84</v>
      </c>
      <c r="I1180">
        <v>24554.58</v>
      </c>
      <c r="J1180" t="s">
        <v>14</v>
      </c>
      <c r="K1180">
        <v>43.05</v>
      </c>
      <c r="L1180" s="9">
        <v>2.5</v>
      </c>
      <c r="M1180">
        <v>1</v>
      </c>
      <c r="N1180">
        <f t="shared" si="36"/>
        <v>0</v>
      </c>
      <c r="O1180">
        <f t="shared" si="37"/>
        <v>2</v>
      </c>
    </row>
    <row r="1181" spans="1:15" x14ac:dyDescent="0.2">
      <c r="A1181" s="1">
        <v>45924</v>
      </c>
      <c r="B1181">
        <v>3</v>
      </c>
      <c r="C1181" t="s">
        <v>13</v>
      </c>
      <c r="D1181" s="2">
        <v>0.4465277777777778</v>
      </c>
      <c r="E1181">
        <v>24561.05</v>
      </c>
      <c r="F1181" s="2">
        <v>0.44930555555555557</v>
      </c>
      <c r="G1181">
        <v>24578.240000000002</v>
      </c>
      <c r="H1181">
        <v>24578.240000000002</v>
      </c>
      <c r="I1181">
        <v>24518.06</v>
      </c>
      <c r="J1181" t="s">
        <v>15</v>
      </c>
      <c r="K1181">
        <v>-17.190000000000001</v>
      </c>
      <c r="L1181" s="9">
        <v>-1</v>
      </c>
      <c r="M1181">
        <v>0</v>
      </c>
      <c r="N1181">
        <f t="shared" si="36"/>
        <v>1</v>
      </c>
      <c r="O1181">
        <f t="shared" si="37"/>
        <v>0</v>
      </c>
    </row>
    <row r="1182" spans="1:15" x14ac:dyDescent="0.2">
      <c r="A1182" s="6">
        <v>45925</v>
      </c>
      <c r="B1182" s="7">
        <v>4</v>
      </c>
      <c r="C1182" s="7" t="s">
        <v>13</v>
      </c>
      <c r="D1182" s="8">
        <v>0.40625</v>
      </c>
      <c r="E1182" s="7">
        <v>24204.400000000001</v>
      </c>
      <c r="F1182" s="8">
        <v>0.40694444444444444</v>
      </c>
      <c r="G1182" s="7">
        <v>24221.34</v>
      </c>
      <c r="H1182" s="7">
        <v>24221.34</v>
      </c>
      <c r="I1182" s="7">
        <v>24162.04</v>
      </c>
      <c r="J1182" s="7" t="s">
        <v>15</v>
      </c>
      <c r="K1182" s="7">
        <v>-16.940000000000001</v>
      </c>
      <c r="L1182" s="10">
        <v>-1</v>
      </c>
      <c r="M1182" s="7">
        <v>0</v>
      </c>
      <c r="N1182" s="7">
        <f t="shared" si="36"/>
        <v>2</v>
      </c>
      <c r="O1182">
        <f t="shared" si="37"/>
        <v>0</v>
      </c>
    </row>
    <row r="1183" spans="1:15" x14ac:dyDescent="0.2">
      <c r="A1183" s="6">
        <v>45925</v>
      </c>
      <c r="B1183" s="7">
        <v>4</v>
      </c>
      <c r="C1183" s="7" t="s">
        <v>16</v>
      </c>
      <c r="D1183" s="8">
        <v>0.42569444444444443</v>
      </c>
      <c r="E1183" s="7">
        <v>24330.38</v>
      </c>
      <c r="F1183" s="8">
        <v>0.4284722222222222</v>
      </c>
      <c r="G1183" s="7">
        <v>24372.959999999999</v>
      </c>
      <c r="H1183" s="7">
        <v>24313.35</v>
      </c>
      <c r="I1183" s="7">
        <v>24372.959999999999</v>
      </c>
      <c r="J1183" s="7" t="s">
        <v>14</v>
      </c>
      <c r="K1183" s="7">
        <v>42.58</v>
      </c>
      <c r="L1183" s="10">
        <v>2.5</v>
      </c>
      <c r="M1183" s="7">
        <v>1</v>
      </c>
      <c r="N1183" s="7">
        <f t="shared" si="36"/>
        <v>0</v>
      </c>
      <c r="O1183">
        <f t="shared" si="37"/>
        <v>1</v>
      </c>
    </row>
    <row r="1184" spans="1:15" x14ac:dyDescent="0.2">
      <c r="A1184" s="6">
        <v>45926</v>
      </c>
      <c r="B1184" s="7">
        <v>5</v>
      </c>
      <c r="C1184" s="7" t="s">
        <v>13</v>
      </c>
      <c r="D1184" s="8">
        <v>0.3972222222222222</v>
      </c>
      <c r="E1184" s="7">
        <v>24418.68</v>
      </c>
      <c r="F1184" s="8">
        <v>0.39791666666666664</v>
      </c>
      <c r="G1184" s="7">
        <v>24435.78</v>
      </c>
      <c r="H1184" s="7">
        <v>24435.78</v>
      </c>
      <c r="I1184" s="7">
        <v>24375.95</v>
      </c>
      <c r="J1184" s="7" t="s">
        <v>15</v>
      </c>
      <c r="K1184" s="7">
        <v>-17.09</v>
      </c>
      <c r="L1184" s="10">
        <v>-1</v>
      </c>
      <c r="M1184" s="7">
        <v>0</v>
      </c>
      <c r="N1184" s="7">
        <f t="shared" si="36"/>
        <v>1</v>
      </c>
      <c r="O1184">
        <f t="shared" si="37"/>
        <v>0</v>
      </c>
    </row>
    <row r="1185" spans="1:15" x14ac:dyDescent="0.2">
      <c r="A1185" s="6">
        <v>45926</v>
      </c>
      <c r="B1185" s="7">
        <v>5</v>
      </c>
      <c r="C1185" s="7" t="s">
        <v>16</v>
      </c>
      <c r="D1185" s="8">
        <v>0.41805555555555557</v>
      </c>
      <c r="E1185" s="7">
        <v>24486.41</v>
      </c>
      <c r="F1185" s="8">
        <v>0.41875000000000001</v>
      </c>
      <c r="G1185" s="7">
        <v>24469.27</v>
      </c>
      <c r="H1185" s="7">
        <v>24469.27</v>
      </c>
      <c r="I1185" s="7">
        <v>24529.26</v>
      </c>
      <c r="J1185" s="7" t="s">
        <v>15</v>
      </c>
      <c r="K1185" s="7">
        <v>-17.14</v>
      </c>
      <c r="L1185" s="10">
        <v>-1</v>
      </c>
      <c r="M1185" s="7">
        <v>0</v>
      </c>
      <c r="N1185" s="7">
        <f t="shared" si="36"/>
        <v>2</v>
      </c>
      <c r="O1185">
        <f t="shared" si="37"/>
        <v>0</v>
      </c>
    </row>
    <row r="1186" spans="1:15" x14ac:dyDescent="0.2">
      <c r="A1186" s="6">
        <v>45926</v>
      </c>
      <c r="B1186" s="7">
        <v>5</v>
      </c>
      <c r="C1186" s="7" t="s">
        <v>13</v>
      </c>
      <c r="D1186" s="8">
        <v>0.42569444444444443</v>
      </c>
      <c r="E1186" s="7">
        <v>24388.76</v>
      </c>
      <c r="F1186" s="8">
        <v>0.43333333333333335</v>
      </c>
      <c r="G1186" s="7">
        <v>24346.07</v>
      </c>
      <c r="H1186" s="7">
        <v>24405.83</v>
      </c>
      <c r="I1186" s="7">
        <v>24346.07</v>
      </c>
      <c r="J1186" s="7" t="s">
        <v>14</v>
      </c>
      <c r="K1186" s="7">
        <v>42.68</v>
      </c>
      <c r="L1186" s="10">
        <v>2.5</v>
      </c>
      <c r="M1186" s="7">
        <v>1</v>
      </c>
      <c r="N1186" s="7">
        <f t="shared" si="36"/>
        <v>0</v>
      </c>
      <c r="O1186">
        <f t="shared" si="37"/>
        <v>1</v>
      </c>
    </row>
    <row r="1187" spans="1:15" x14ac:dyDescent="0.2">
      <c r="A1187" s="1">
        <v>45929</v>
      </c>
      <c r="B1187">
        <v>1</v>
      </c>
      <c r="C1187" t="s">
        <v>13</v>
      </c>
      <c r="D1187" s="2">
        <v>11</v>
      </c>
      <c r="E1187">
        <v>24638.31</v>
      </c>
      <c r="F1187" s="2">
        <v>0.3972222222222222</v>
      </c>
      <c r="G1187">
        <v>24655.56</v>
      </c>
      <c r="H1187">
        <v>24655.56</v>
      </c>
      <c r="I1187">
        <v>24595.19</v>
      </c>
      <c r="J1187" t="s">
        <v>15</v>
      </c>
      <c r="K1187">
        <v>-17.25</v>
      </c>
      <c r="L1187" s="9">
        <v>-1</v>
      </c>
      <c r="M1187">
        <v>0</v>
      </c>
      <c r="N1187">
        <f t="shared" si="36"/>
        <v>1</v>
      </c>
      <c r="O1187">
        <f t="shared" si="37"/>
        <v>0</v>
      </c>
    </row>
    <row r="1188" spans="1:15" x14ac:dyDescent="0.2">
      <c r="A1188" s="1">
        <v>45929</v>
      </c>
      <c r="B1188">
        <v>1</v>
      </c>
      <c r="C1188" t="s">
        <v>16</v>
      </c>
      <c r="D1188" s="2">
        <v>0.41041666666666665</v>
      </c>
      <c r="E1188">
        <v>24711.35</v>
      </c>
      <c r="F1188" s="2">
        <v>0.43055555555555558</v>
      </c>
      <c r="G1188">
        <v>24694.05</v>
      </c>
      <c r="H1188">
        <v>24694.05</v>
      </c>
      <c r="I1188">
        <v>24754.6</v>
      </c>
      <c r="J1188" t="s">
        <v>15</v>
      </c>
      <c r="K1188">
        <v>-17.3</v>
      </c>
      <c r="L1188" s="9">
        <v>-1</v>
      </c>
      <c r="M1188">
        <v>0</v>
      </c>
      <c r="N1188">
        <f t="shared" si="36"/>
        <v>2</v>
      </c>
      <c r="O1188">
        <f t="shared" si="37"/>
        <v>0</v>
      </c>
    </row>
    <row r="1189" spans="1:15" x14ac:dyDescent="0.2">
      <c r="A1189" s="1">
        <v>45930</v>
      </c>
      <c r="B1189">
        <v>2</v>
      </c>
      <c r="C1189" t="s">
        <v>13</v>
      </c>
      <c r="D1189" s="2">
        <v>0.4</v>
      </c>
      <c r="E1189">
        <v>24553.79</v>
      </c>
      <c r="F1189" s="2">
        <v>0.40555555555555556</v>
      </c>
      <c r="G1189">
        <v>24570.98</v>
      </c>
      <c r="H1189">
        <v>24570.98</v>
      </c>
      <c r="I1189">
        <v>24510.82</v>
      </c>
      <c r="J1189" t="s">
        <v>15</v>
      </c>
      <c r="K1189">
        <v>-17.190000000000001</v>
      </c>
      <c r="L1189" s="9">
        <v>-1</v>
      </c>
      <c r="M1189">
        <v>0</v>
      </c>
      <c r="N1189">
        <f t="shared" si="36"/>
        <v>3</v>
      </c>
      <c r="O1189">
        <f t="shared" si="37"/>
        <v>0</v>
      </c>
    </row>
    <row r="1190" spans="1:15" x14ac:dyDescent="0.2">
      <c r="A1190" s="1">
        <v>45930</v>
      </c>
      <c r="B1190">
        <v>2</v>
      </c>
      <c r="C1190" t="s">
        <v>16</v>
      </c>
      <c r="D1190" s="2">
        <v>0.45347222222222222</v>
      </c>
      <c r="E1190">
        <v>24599.03</v>
      </c>
      <c r="F1190" s="2">
        <v>0.47152777777777777</v>
      </c>
      <c r="G1190">
        <v>24581.81</v>
      </c>
      <c r="H1190">
        <v>24581.81</v>
      </c>
      <c r="I1190">
        <v>24642.080000000002</v>
      </c>
      <c r="J1190" t="s">
        <v>15</v>
      </c>
      <c r="K1190">
        <v>-17.22</v>
      </c>
      <c r="L1190" s="9">
        <v>-1</v>
      </c>
      <c r="M1190">
        <v>0</v>
      </c>
      <c r="N1190">
        <f t="shared" si="36"/>
        <v>4</v>
      </c>
      <c r="O1190">
        <f t="shared" si="37"/>
        <v>0</v>
      </c>
    </row>
    <row r="1191" spans="1:15" s="4" customFormat="1" x14ac:dyDescent="0.2">
      <c r="A1191" s="6">
        <v>45932</v>
      </c>
      <c r="B1191" s="7">
        <v>4</v>
      </c>
      <c r="C1191" s="7" t="s">
        <v>13</v>
      </c>
      <c r="D1191" s="8">
        <v>0.4</v>
      </c>
      <c r="E1191" s="7">
        <v>24915.040000000001</v>
      </c>
      <c r="F1191" s="8">
        <v>0.40138888888888891</v>
      </c>
      <c r="G1191" s="7">
        <v>24871.439999999999</v>
      </c>
      <c r="H1191" s="7">
        <v>24932.48</v>
      </c>
      <c r="I1191" s="7">
        <v>24871.439999999999</v>
      </c>
      <c r="J1191" s="7" t="s">
        <v>14</v>
      </c>
      <c r="K1191" s="7">
        <v>43.6</v>
      </c>
      <c r="L1191" s="10">
        <v>2.5</v>
      </c>
      <c r="M1191" s="7">
        <v>1</v>
      </c>
      <c r="N1191" s="7">
        <f t="shared" si="36"/>
        <v>0</v>
      </c>
      <c r="O1191" s="4">
        <f t="shared" si="37"/>
        <v>1</v>
      </c>
    </row>
    <row r="1192" spans="1:15" x14ac:dyDescent="0.2">
      <c r="A1192" s="6">
        <v>45932</v>
      </c>
      <c r="B1192" s="7">
        <v>4</v>
      </c>
      <c r="C1192" s="7" t="s">
        <v>16</v>
      </c>
      <c r="D1192" s="8">
        <v>0.43611111111111112</v>
      </c>
      <c r="E1192" s="7">
        <v>24865.37</v>
      </c>
      <c r="F1192" s="8">
        <v>0.43958333333333333</v>
      </c>
      <c r="G1192" s="7">
        <v>24847.97</v>
      </c>
      <c r="H1192" s="7">
        <v>24847.97</v>
      </c>
      <c r="I1192" s="7">
        <v>24908.89</v>
      </c>
      <c r="J1192" s="7" t="s">
        <v>15</v>
      </c>
      <c r="K1192" s="7">
        <v>-17.41</v>
      </c>
      <c r="L1192" s="10">
        <v>-1</v>
      </c>
      <c r="M1192" s="7">
        <v>0</v>
      </c>
      <c r="N1192" s="7">
        <f t="shared" si="36"/>
        <v>1</v>
      </c>
      <c r="O1192">
        <f t="shared" si="37"/>
        <v>0</v>
      </c>
    </row>
    <row r="1193" spans="1:15" x14ac:dyDescent="0.2">
      <c r="A1193" s="6">
        <v>45932</v>
      </c>
      <c r="B1193" s="7">
        <v>4</v>
      </c>
      <c r="C1193" s="7" t="s">
        <v>13</v>
      </c>
      <c r="D1193" s="8">
        <v>0.45624999999999999</v>
      </c>
      <c r="E1193" s="7">
        <v>24815.51</v>
      </c>
      <c r="F1193" s="8">
        <v>0.46527777777777779</v>
      </c>
      <c r="G1193" s="7">
        <v>24832.89</v>
      </c>
      <c r="H1193" s="7">
        <v>24832.89</v>
      </c>
      <c r="I1193" s="7">
        <v>24772.09</v>
      </c>
      <c r="J1193" s="7" t="s">
        <v>15</v>
      </c>
      <c r="K1193" s="7">
        <v>-17.37</v>
      </c>
      <c r="L1193" s="10">
        <v>-1</v>
      </c>
      <c r="M1193" s="7">
        <v>0</v>
      </c>
      <c r="N1193" s="7">
        <f t="shared" si="36"/>
        <v>2</v>
      </c>
      <c r="O1193">
        <f t="shared" si="37"/>
        <v>0</v>
      </c>
    </row>
    <row r="1194" spans="1:15" x14ac:dyDescent="0.2">
      <c r="A1194" s="1">
        <v>45933</v>
      </c>
      <c r="B1194">
        <v>5</v>
      </c>
      <c r="C1194" t="s">
        <v>16</v>
      </c>
      <c r="D1194" s="2">
        <v>0.40347222222222223</v>
      </c>
      <c r="E1194">
        <v>24940</v>
      </c>
      <c r="F1194" s="2">
        <v>0.40416666666666667</v>
      </c>
      <c r="G1194">
        <v>24922.54</v>
      </c>
      <c r="H1194">
        <v>24922.54</v>
      </c>
      <c r="I1194">
        <v>24983.64</v>
      </c>
      <c r="J1194" t="s">
        <v>15</v>
      </c>
      <c r="K1194">
        <v>-17.46</v>
      </c>
      <c r="L1194" s="9">
        <v>-1</v>
      </c>
      <c r="M1194">
        <v>0</v>
      </c>
      <c r="N1194">
        <f t="shared" si="36"/>
        <v>3</v>
      </c>
      <c r="O1194">
        <f t="shared" si="37"/>
        <v>0</v>
      </c>
    </row>
    <row r="1195" spans="1:15" x14ac:dyDescent="0.2">
      <c r="A1195" s="1">
        <v>45933</v>
      </c>
      <c r="B1195">
        <v>5</v>
      </c>
      <c r="C1195" t="s">
        <v>16</v>
      </c>
      <c r="D1195" s="2">
        <v>0.41249999999999998</v>
      </c>
      <c r="E1195">
        <v>24943.13</v>
      </c>
      <c r="F1195" s="2">
        <v>0.41319444444444442</v>
      </c>
      <c r="G1195">
        <v>24925.67</v>
      </c>
      <c r="H1195">
        <v>24925.67</v>
      </c>
      <c r="I1195">
        <v>24986.78</v>
      </c>
      <c r="J1195" t="s">
        <v>15</v>
      </c>
      <c r="K1195">
        <v>-17.46</v>
      </c>
      <c r="L1195" s="9">
        <v>-1</v>
      </c>
      <c r="M1195">
        <v>0</v>
      </c>
      <c r="N1195">
        <f t="shared" si="36"/>
        <v>4</v>
      </c>
      <c r="O1195">
        <f t="shared" si="37"/>
        <v>0</v>
      </c>
    </row>
    <row r="1196" spans="1:15" x14ac:dyDescent="0.2">
      <c r="A1196" s="1">
        <v>45933</v>
      </c>
      <c r="B1196">
        <v>5</v>
      </c>
      <c r="C1196" t="s">
        <v>13</v>
      </c>
      <c r="D1196" s="2">
        <v>0.41944444444444445</v>
      </c>
      <c r="E1196">
        <v>24876.21</v>
      </c>
      <c r="F1196" s="2">
        <v>0.43472222222222223</v>
      </c>
      <c r="G1196">
        <v>24893.62</v>
      </c>
      <c r="H1196">
        <v>24893.62</v>
      </c>
      <c r="I1196">
        <v>24832.67</v>
      </c>
      <c r="J1196" t="s">
        <v>15</v>
      </c>
      <c r="K1196">
        <v>-17.41</v>
      </c>
      <c r="L1196" s="9">
        <v>-1</v>
      </c>
      <c r="M1196">
        <v>0</v>
      </c>
      <c r="N1196">
        <f t="shared" si="36"/>
        <v>5</v>
      </c>
      <c r="O1196">
        <f t="shared" si="37"/>
        <v>0</v>
      </c>
    </row>
    <row r="1197" spans="1:15" x14ac:dyDescent="0.2">
      <c r="A1197" s="1">
        <v>45936</v>
      </c>
      <c r="B1197">
        <v>1</v>
      </c>
      <c r="C1197" t="s">
        <v>16</v>
      </c>
      <c r="D1197" s="2">
        <v>0.39583333333333331</v>
      </c>
      <c r="E1197">
        <v>24999.759999999998</v>
      </c>
      <c r="F1197" s="2">
        <v>0.39652777777777776</v>
      </c>
      <c r="G1197">
        <v>24982.26</v>
      </c>
      <c r="H1197">
        <v>24982.26</v>
      </c>
      <c r="I1197">
        <v>25043.51</v>
      </c>
      <c r="J1197" t="s">
        <v>15</v>
      </c>
      <c r="K1197">
        <v>-17.5</v>
      </c>
      <c r="L1197" s="9">
        <v>-1</v>
      </c>
      <c r="M1197">
        <v>0</v>
      </c>
      <c r="N1197">
        <f t="shared" si="36"/>
        <v>6</v>
      </c>
      <c r="O1197">
        <f t="shared" si="37"/>
        <v>0</v>
      </c>
    </row>
    <row r="1198" spans="1:15" x14ac:dyDescent="0.2">
      <c r="A1198" s="1">
        <v>45936</v>
      </c>
      <c r="B1198">
        <v>1</v>
      </c>
      <c r="C1198" t="s">
        <v>13</v>
      </c>
      <c r="D1198" s="2">
        <v>0.40486111111111112</v>
      </c>
      <c r="E1198">
        <v>24952.02</v>
      </c>
      <c r="F1198" s="2">
        <v>0.41944444444444445</v>
      </c>
      <c r="G1198">
        <v>24969.49</v>
      </c>
      <c r="H1198">
        <v>24969.49</v>
      </c>
      <c r="I1198">
        <v>24908.36</v>
      </c>
      <c r="J1198" t="s">
        <v>15</v>
      </c>
      <c r="K1198">
        <v>-17.47</v>
      </c>
      <c r="L1198" s="9">
        <v>-1</v>
      </c>
      <c r="M1198">
        <v>0</v>
      </c>
      <c r="N1198">
        <f t="shared" si="36"/>
        <v>7</v>
      </c>
      <c r="O1198">
        <f t="shared" si="37"/>
        <v>0</v>
      </c>
    </row>
    <row r="1199" spans="1:15" x14ac:dyDescent="0.2">
      <c r="A1199" s="1">
        <v>45936</v>
      </c>
      <c r="B1199">
        <v>1</v>
      </c>
      <c r="C1199" t="s">
        <v>13</v>
      </c>
      <c r="D1199" s="2">
        <v>0.44305555555555554</v>
      </c>
      <c r="E1199">
        <v>24925.78</v>
      </c>
      <c r="F1199" s="2">
        <v>0.45</v>
      </c>
      <c r="G1199">
        <v>24943.23</v>
      </c>
      <c r="H1199">
        <v>24943.23</v>
      </c>
      <c r="I1199">
        <v>24882.16</v>
      </c>
      <c r="J1199" t="s">
        <v>15</v>
      </c>
      <c r="K1199">
        <v>-17.45</v>
      </c>
      <c r="L1199" s="9">
        <v>-1</v>
      </c>
      <c r="M1199">
        <v>0</v>
      </c>
      <c r="N1199">
        <f t="shared" si="36"/>
        <v>8</v>
      </c>
      <c r="O1199">
        <f t="shared" si="37"/>
        <v>0</v>
      </c>
    </row>
    <row r="1200" spans="1:15" x14ac:dyDescent="0.2">
      <c r="A1200" s="1">
        <v>45937</v>
      </c>
      <c r="B1200">
        <v>2</v>
      </c>
      <c r="C1200" t="s">
        <v>13</v>
      </c>
      <c r="D1200" s="2">
        <v>0.43819444444444444</v>
      </c>
      <c r="E1200">
        <v>25009.72</v>
      </c>
      <c r="F1200" s="2">
        <v>0.45555555555555555</v>
      </c>
      <c r="G1200">
        <v>24965.96</v>
      </c>
      <c r="H1200">
        <v>25027.23</v>
      </c>
      <c r="I1200">
        <v>24965.96</v>
      </c>
      <c r="J1200" t="s">
        <v>14</v>
      </c>
      <c r="K1200">
        <v>43.77</v>
      </c>
      <c r="L1200" s="9">
        <v>2.5</v>
      </c>
      <c r="M1200">
        <v>1</v>
      </c>
      <c r="N1200">
        <f t="shared" si="36"/>
        <v>0</v>
      </c>
      <c r="O1200">
        <f t="shared" si="37"/>
        <v>1</v>
      </c>
    </row>
    <row r="1201" spans="1:15" x14ac:dyDescent="0.2">
      <c r="A1201" s="1">
        <v>45938</v>
      </c>
      <c r="B1201">
        <v>3</v>
      </c>
      <c r="C1201" t="s">
        <v>16</v>
      </c>
      <c r="D1201" s="2">
        <v>0.39930555555555558</v>
      </c>
      <c r="E1201">
        <v>24914.79</v>
      </c>
      <c r="F1201" s="2">
        <v>0.40833333333333333</v>
      </c>
      <c r="G1201">
        <v>24958.39</v>
      </c>
      <c r="H1201">
        <v>24897.35</v>
      </c>
      <c r="I1201">
        <v>24958.39</v>
      </c>
      <c r="J1201" t="s">
        <v>14</v>
      </c>
      <c r="K1201">
        <v>43.6</v>
      </c>
      <c r="L1201" s="9">
        <v>2.5</v>
      </c>
      <c r="M1201">
        <v>1</v>
      </c>
      <c r="N1201">
        <f t="shared" si="36"/>
        <v>0</v>
      </c>
      <c r="O1201">
        <f t="shared" si="37"/>
        <v>2</v>
      </c>
    </row>
    <row r="1202" spans="1:15" x14ac:dyDescent="0.2">
      <c r="A1202" s="1">
        <v>45938</v>
      </c>
      <c r="B1202">
        <v>3</v>
      </c>
      <c r="C1202" t="s">
        <v>13</v>
      </c>
      <c r="D1202" s="2">
        <v>0.45416666666666666</v>
      </c>
      <c r="E1202">
        <v>24978.01</v>
      </c>
      <c r="F1202" s="2">
        <v>0.45833333333333331</v>
      </c>
      <c r="G1202">
        <v>24995.49</v>
      </c>
      <c r="H1202">
        <v>24995.49</v>
      </c>
      <c r="I1202">
        <v>24934.3</v>
      </c>
      <c r="J1202" t="s">
        <v>15</v>
      </c>
      <c r="K1202">
        <v>-17.48</v>
      </c>
      <c r="L1202" s="9">
        <v>-1</v>
      </c>
      <c r="M1202">
        <v>0</v>
      </c>
      <c r="N1202">
        <f t="shared" si="36"/>
        <v>1</v>
      </c>
      <c r="O1202">
        <f t="shared" si="37"/>
        <v>0</v>
      </c>
    </row>
    <row r="1203" spans="1:15" x14ac:dyDescent="0.2">
      <c r="A1203" s="1">
        <v>45939</v>
      </c>
      <c r="B1203">
        <v>4</v>
      </c>
      <c r="C1203" t="s">
        <v>13</v>
      </c>
      <c r="D1203" s="2">
        <v>0.40555555555555556</v>
      </c>
      <c r="E1203">
        <v>25077.34</v>
      </c>
      <c r="F1203" s="2">
        <v>0.40902777777777777</v>
      </c>
      <c r="G1203">
        <v>25094.9</v>
      </c>
      <c r="H1203">
        <v>25094.9</v>
      </c>
      <c r="I1203">
        <v>25033.46</v>
      </c>
      <c r="J1203" t="s">
        <v>15</v>
      </c>
      <c r="K1203">
        <v>-17.55</v>
      </c>
      <c r="L1203" s="9">
        <v>-1</v>
      </c>
      <c r="M1203">
        <v>0</v>
      </c>
      <c r="N1203">
        <f t="shared" si="36"/>
        <v>2</v>
      </c>
      <c r="O1203">
        <f t="shared" si="37"/>
        <v>0</v>
      </c>
    </row>
    <row r="1204" spans="1:15" x14ac:dyDescent="0.2">
      <c r="A1204" s="1">
        <v>45939</v>
      </c>
      <c r="B1204">
        <v>4</v>
      </c>
      <c r="C1204" t="s">
        <v>13</v>
      </c>
      <c r="D1204" s="2">
        <v>0.43958333333333333</v>
      </c>
      <c r="E1204">
        <v>25042.98</v>
      </c>
      <c r="F1204" s="2">
        <v>0.44791666666666669</v>
      </c>
      <c r="G1204">
        <v>24999.15</v>
      </c>
      <c r="H1204">
        <v>25060.51</v>
      </c>
      <c r="I1204">
        <v>24999.15</v>
      </c>
      <c r="J1204" t="s">
        <v>14</v>
      </c>
      <c r="K1204">
        <v>43.83</v>
      </c>
      <c r="L1204" s="9">
        <v>2.5</v>
      </c>
      <c r="M1204">
        <v>1</v>
      </c>
      <c r="N1204">
        <f t="shared" si="36"/>
        <v>0</v>
      </c>
      <c r="O1204">
        <f t="shared" si="37"/>
        <v>1</v>
      </c>
    </row>
    <row r="1205" spans="1:15" x14ac:dyDescent="0.2">
      <c r="A1205" s="1">
        <v>45943</v>
      </c>
      <c r="B1205">
        <v>1</v>
      </c>
      <c r="C1205" t="s">
        <v>13</v>
      </c>
      <c r="D1205" s="2">
        <v>0.40138888888888891</v>
      </c>
      <c r="E1205">
        <v>24582.42</v>
      </c>
      <c r="F1205" s="2">
        <v>0.40416666666666667</v>
      </c>
      <c r="G1205">
        <v>24599.63</v>
      </c>
      <c r="H1205">
        <v>24599.63</v>
      </c>
      <c r="I1205">
        <v>24539.4</v>
      </c>
      <c r="J1205" t="s">
        <v>15</v>
      </c>
      <c r="K1205">
        <v>-17.21</v>
      </c>
      <c r="L1205" s="9">
        <v>-1</v>
      </c>
      <c r="M1205">
        <v>0</v>
      </c>
      <c r="N1205">
        <f t="shared" si="36"/>
        <v>1</v>
      </c>
      <c r="O1205">
        <f t="shared" si="37"/>
        <v>0</v>
      </c>
    </row>
    <row r="1206" spans="1:15" x14ac:dyDescent="0.2">
      <c r="A1206" s="1">
        <v>45943</v>
      </c>
      <c r="B1206">
        <v>1</v>
      </c>
      <c r="C1206" t="s">
        <v>16</v>
      </c>
      <c r="D1206" s="2">
        <v>0.41805555555555557</v>
      </c>
      <c r="E1206">
        <v>24706.86</v>
      </c>
      <c r="F1206" s="2">
        <v>0.41875000000000001</v>
      </c>
      <c r="G1206">
        <v>24689.56</v>
      </c>
      <c r="H1206">
        <v>24689.56</v>
      </c>
      <c r="I1206">
        <v>24750.1</v>
      </c>
      <c r="J1206" t="s">
        <v>15</v>
      </c>
      <c r="K1206">
        <v>-17.29</v>
      </c>
      <c r="L1206" s="9">
        <v>-1</v>
      </c>
      <c r="M1206">
        <v>0</v>
      </c>
      <c r="N1206">
        <f t="shared" si="36"/>
        <v>2</v>
      </c>
      <c r="O1206">
        <f t="shared" si="37"/>
        <v>0</v>
      </c>
    </row>
    <row r="1207" spans="1:15" x14ac:dyDescent="0.2">
      <c r="A1207" s="1">
        <v>45943</v>
      </c>
      <c r="B1207">
        <v>1</v>
      </c>
      <c r="C1207" t="s">
        <v>13</v>
      </c>
      <c r="D1207" s="2">
        <v>0.45347222222222222</v>
      </c>
      <c r="E1207">
        <v>24613.360000000001</v>
      </c>
      <c r="F1207" s="2">
        <v>0.45624999999999999</v>
      </c>
      <c r="G1207">
        <v>24570.29</v>
      </c>
      <c r="H1207">
        <v>24630.59</v>
      </c>
      <c r="I1207">
        <v>24570.29</v>
      </c>
      <c r="J1207" t="s">
        <v>14</v>
      </c>
      <c r="K1207">
        <v>43.07</v>
      </c>
      <c r="L1207" s="9">
        <v>2.5</v>
      </c>
      <c r="M1207">
        <v>1</v>
      </c>
      <c r="N1207">
        <f t="shared" si="36"/>
        <v>0</v>
      </c>
      <c r="O1207">
        <f t="shared" si="37"/>
        <v>1</v>
      </c>
    </row>
    <row r="1208" spans="1:15" x14ac:dyDescent="0.2">
      <c r="A1208" s="1">
        <v>45944</v>
      </c>
      <c r="B1208">
        <v>2</v>
      </c>
      <c r="C1208" t="s">
        <v>13</v>
      </c>
      <c r="D1208" s="2">
        <v>0.40208333333333335</v>
      </c>
      <c r="E1208">
        <v>24342.14</v>
      </c>
      <c r="F1208" s="2">
        <v>0.40416666666666667</v>
      </c>
      <c r="G1208">
        <v>24299.55</v>
      </c>
      <c r="H1208">
        <v>24359.18</v>
      </c>
      <c r="I1208">
        <v>24299.55</v>
      </c>
      <c r="J1208" t="s">
        <v>14</v>
      </c>
      <c r="K1208">
        <v>42.6</v>
      </c>
      <c r="L1208" s="9">
        <v>2.5</v>
      </c>
      <c r="M1208">
        <v>1</v>
      </c>
      <c r="N1208">
        <f t="shared" si="36"/>
        <v>0</v>
      </c>
      <c r="O1208">
        <f t="shared" si="37"/>
        <v>2</v>
      </c>
    </row>
    <row r="1209" spans="1:15" x14ac:dyDescent="0.2">
      <c r="A1209" s="1">
        <v>45944</v>
      </c>
      <c r="B1209">
        <v>2</v>
      </c>
      <c r="C1209" t="s">
        <v>16</v>
      </c>
      <c r="D1209" s="2">
        <v>0.42222222222222222</v>
      </c>
      <c r="E1209">
        <v>24428.34</v>
      </c>
      <c r="F1209" s="2">
        <v>0.42291666666666666</v>
      </c>
      <c r="G1209">
        <v>24411.24</v>
      </c>
      <c r="H1209">
        <v>24411.24</v>
      </c>
      <c r="I1209">
        <v>24471.09</v>
      </c>
      <c r="J1209" t="s">
        <v>15</v>
      </c>
      <c r="K1209">
        <v>-17.100000000000001</v>
      </c>
      <c r="L1209" s="9">
        <v>-1</v>
      </c>
      <c r="M1209">
        <v>0</v>
      </c>
      <c r="N1209">
        <f t="shared" si="36"/>
        <v>1</v>
      </c>
      <c r="O1209">
        <f t="shared" si="37"/>
        <v>0</v>
      </c>
    </row>
    <row r="1210" spans="1:15" x14ac:dyDescent="0.2">
      <c r="A1210" s="1">
        <v>45945</v>
      </c>
      <c r="B1210">
        <v>3</v>
      </c>
      <c r="C1210" t="s">
        <v>13</v>
      </c>
      <c r="D1210" s="2">
        <v>0.39861111111111114</v>
      </c>
      <c r="E1210">
        <v>24799.64</v>
      </c>
      <c r="F1210" s="2">
        <v>0.40069444444444446</v>
      </c>
      <c r="G1210">
        <v>24817</v>
      </c>
      <c r="H1210">
        <v>24817</v>
      </c>
      <c r="I1210">
        <v>24756.240000000002</v>
      </c>
      <c r="J1210" t="s">
        <v>15</v>
      </c>
      <c r="K1210">
        <v>-17.36</v>
      </c>
      <c r="L1210" s="9">
        <v>-1</v>
      </c>
      <c r="M1210">
        <v>0</v>
      </c>
      <c r="N1210">
        <f t="shared" si="36"/>
        <v>2</v>
      </c>
      <c r="O1210">
        <f t="shared" si="37"/>
        <v>0</v>
      </c>
    </row>
    <row r="1211" spans="1:15" x14ac:dyDescent="0.2">
      <c r="A1211" s="1">
        <v>45945</v>
      </c>
      <c r="B1211">
        <v>3</v>
      </c>
      <c r="C1211" t="s">
        <v>16</v>
      </c>
      <c r="D1211" s="2">
        <v>0.42430555555555555</v>
      </c>
      <c r="E1211">
        <v>24912.26</v>
      </c>
      <c r="F1211" s="2">
        <v>0.46597222222222223</v>
      </c>
      <c r="G1211">
        <v>24894.82</v>
      </c>
      <c r="H1211">
        <v>24894.82</v>
      </c>
      <c r="I1211">
        <v>24955.86</v>
      </c>
      <c r="J1211" t="s">
        <v>15</v>
      </c>
      <c r="K1211">
        <v>-17.440000000000001</v>
      </c>
      <c r="L1211" s="9">
        <v>-1</v>
      </c>
      <c r="M1211">
        <v>0</v>
      </c>
      <c r="N1211">
        <f t="shared" si="36"/>
        <v>3</v>
      </c>
      <c r="O1211">
        <f t="shared" si="37"/>
        <v>0</v>
      </c>
    </row>
    <row r="1212" spans="1:15" x14ac:dyDescent="0.2">
      <c r="A1212" s="1">
        <v>45946</v>
      </c>
      <c r="B1212">
        <v>4</v>
      </c>
      <c r="C1212" t="s">
        <v>13</v>
      </c>
      <c r="D1212" s="2">
        <v>0.39583333333333331</v>
      </c>
      <c r="E1212">
        <v>24880.58</v>
      </c>
      <c r="F1212" s="2">
        <v>0.39652777777777776</v>
      </c>
      <c r="G1212">
        <v>24898</v>
      </c>
      <c r="H1212">
        <v>24898</v>
      </c>
      <c r="I1212">
        <v>24837.040000000001</v>
      </c>
      <c r="J1212" t="s">
        <v>15</v>
      </c>
      <c r="K1212">
        <v>-17.420000000000002</v>
      </c>
      <c r="L1212" s="9">
        <v>-1</v>
      </c>
      <c r="M1212">
        <v>0</v>
      </c>
      <c r="N1212">
        <f t="shared" si="36"/>
        <v>4</v>
      </c>
      <c r="O1212">
        <f t="shared" si="37"/>
        <v>0</v>
      </c>
    </row>
    <row r="1213" spans="1:15" x14ac:dyDescent="0.2">
      <c r="A1213" s="1">
        <v>45946</v>
      </c>
      <c r="B1213">
        <v>4</v>
      </c>
      <c r="C1213" t="s">
        <v>16</v>
      </c>
      <c r="D1213" s="2">
        <v>0.44027777777777777</v>
      </c>
      <c r="E1213">
        <v>24920.54</v>
      </c>
      <c r="F1213" s="2">
        <v>0.44236111111111109</v>
      </c>
      <c r="G1213">
        <v>24964.16</v>
      </c>
      <c r="H1213">
        <v>24903.1</v>
      </c>
      <c r="I1213">
        <v>24964.16</v>
      </c>
      <c r="J1213" t="s">
        <v>14</v>
      </c>
      <c r="K1213">
        <v>43.61</v>
      </c>
      <c r="L1213" s="9">
        <v>2.5</v>
      </c>
      <c r="M1213">
        <v>1</v>
      </c>
      <c r="N1213">
        <f t="shared" si="36"/>
        <v>0</v>
      </c>
      <c r="O1213">
        <f t="shared" si="37"/>
        <v>1</v>
      </c>
    </row>
    <row r="1214" spans="1:15" x14ac:dyDescent="0.2">
      <c r="A1214" s="1">
        <v>45947</v>
      </c>
      <c r="B1214">
        <v>5</v>
      </c>
      <c r="C1214" t="s">
        <v>16</v>
      </c>
      <c r="D1214" s="2">
        <v>0.4152777777777778</v>
      </c>
      <c r="E1214">
        <v>24686.33</v>
      </c>
      <c r="F1214" s="2">
        <v>0.41597222222222224</v>
      </c>
      <c r="G1214">
        <v>24669.05</v>
      </c>
      <c r="H1214">
        <v>24669.05</v>
      </c>
      <c r="I1214">
        <v>24729.53</v>
      </c>
      <c r="J1214" t="s">
        <v>15</v>
      </c>
      <c r="K1214">
        <v>-17.28</v>
      </c>
      <c r="L1214" s="9">
        <v>-1</v>
      </c>
      <c r="M1214">
        <v>0</v>
      </c>
      <c r="N1214">
        <f t="shared" si="36"/>
        <v>1</v>
      </c>
      <c r="O1214">
        <f t="shared" si="37"/>
        <v>0</v>
      </c>
    </row>
    <row r="1215" spans="1:15" x14ac:dyDescent="0.2">
      <c r="A1215" s="1">
        <v>45950</v>
      </c>
      <c r="B1215">
        <v>1</v>
      </c>
      <c r="C1215" t="s">
        <v>16</v>
      </c>
      <c r="D1215" s="2">
        <v>0.40208333333333335</v>
      </c>
      <c r="E1215">
        <v>25042.84</v>
      </c>
      <c r="F1215" s="2">
        <v>0.40347222222222223</v>
      </c>
      <c r="G1215">
        <v>25025.31</v>
      </c>
      <c r="H1215">
        <v>25025.31</v>
      </c>
      <c r="I1215">
        <v>25086.67</v>
      </c>
      <c r="J1215" t="s">
        <v>15</v>
      </c>
      <c r="K1215">
        <v>-17.53</v>
      </c>
      <c r="L1215" s="9">
        <v>-1</v>
      </c>
      <c r="M1215">
        <v>0</v>
      </c>
      <c r="N1215">
        <f t="shared" si="36"/>
        <v>2</v>
      </c>
      <c r="O1215">
        <f t="shared" si="37"/>
        <v>0</v>
      </c>
    </row>
    <row r="1216" spans="1:15" x14ac:dyDescent="0.2">
      <c r="A1216" s="1">
        <v>45950</v>
      </c>
      <c r="B1216">
        <v>1</v>
      </c>
      <c r="C1216" t="s">
        <v>16</v>
      </c>
      <c r="D1216" s="2">
        <v>0.43819444444444444</v>
      </c>
      <c r="E1216">
        <v>25108.68</v>
      </c>
      <c r="F1216" s="2">
        <v>0.45347222222222222</v>
      </c>
      <c r="G1216">
        <v>25152.62</v>
      </c>
      <c r="H1216">
        <v>25091.1</v>
      </c>
      <c r="I1216">
        <v>25152.62</v>
      </c>
      <c r="J1216" t="s">
        <v>14</v>
      </c>
      <c r="K1216">
        <v>43.94</v>
      </c>
      <c r="L1216" s="9">
        <v>2.5</v>
      </c>
      <c r="M1216">
        <v>1</v>
      </c>
      <c r="N1216">
        <f t="shared" si="36"/>
        <v>0</v>
      </c>
      <c r="O1216">
        <f t="shared" si="37"/>
        <v>1</v>
      </c>
    </row>
    <row r="1217" spans="1:15" x14ac:dyDescent="0.2">
      <c r="A1217" s="1">
        <v>45951</v>
      </c>
      <c r="B1217">
        <v>2</v>
      </c>
      <c r="C1217" t="s">
        <v>13</v>
      </c>
      <c r="D1217" s="2">
        <v>0.40694444444444444</v>
      </c>
      <c r="E1217">
        <v>25088.959999999999</v>
      </c>
      <c r="F1217" s="2">
        <v>0.42986111111111114</v>
      </c>
      <c r="G1217">
        <v>25106.52</v>
      </c>
      <c r="H1217">
        <v>25106.52</v>
      </c>
      <c r="I1217">
        <v>25045.06</v>
      </c>
      <c r="J1217" t="s">
        <v>15</v>
      </c>
      <c r="K1217">
        <v>-17.559999999999999</v>
      </c>
      <c r="L1217" s="9">
        <v>-1</v>
      </c>
      <c r="M1217">
        <v>0</v>
      </c>
      <c r="N1217">
        <f t="shared" si="36"/>
        <v>1</v>
      </c>
      <c r="O1217">
        <f t="shared" si="37"/>
        <v>0</v>
      </c>
    </row>
    <row r="1218" spans="1:15" x14ac:dyDescent="0.2">
      <c r="A1218" s="1">
        <v>45951</v>
      </c>
      <c r="B1218">
        <v>2</v>
      </c>
      <c r="C1218" t="s">
        <v>16</v>
      </c>
      <c r="D1218" s="2">
        <v>0.45277777777777778</v>
      </c>
      <c r="E1218">
        <v>25093.77</v>
      </c>
      <c r="F1218" s="2">
        <v>0.45833333333333331</v>
      </c>
      <c r="G1218">
        <v>25137.68</v>
      </c>
      <c r="H1218">
        <v>25076.2</v>
      </c>
      <c r="I1218">
        <v>25137.68</v>
      </c>
      <c r="J1218" t="s">
        <v>14</v>
      </c>
      <c r="K1218">
        <v>43.91</v>
      </c>
      <c r="L1218" s="9">
        <v>2.5</v>
      </c>
      <c r="M1218">
        <v>1</v>
      </c>
      <c r="N1218">
        <f t="shared" ref="N1218:N1241" si="38">IF(M1218=0, IF(M1217=0, N1217+1, 1), 0)</f>
        <v>0</v>
      </c>
      <c r="O1218">
        <f t="shared" ref="O1218:O1241" si="39">IF(M1218=1, IF(M1217=1, O1217+1, 1), 0)</f>
        <v>1</v>
      </c>
    </row>
    <row r="1219" spans="1:15" x14ac:dyDescent="0.2">
      <c r="A1219" s="1">
        <v>45952</v>
      </c>
      <c r="B1219">
        <v>3</v>
      </c>
      <c r="C1219" t="s">
        <v>13</v>
      </c>
      <c r="D1219" s="2">
        <v>0.40069444444444446</v>
      </c>
      <c r="E1219">
        <v>25034.38</v>
      </c>
      <c r="F1219" s="2">
        <v>0.40208333333333335</v>
      </c>
      <c r="G1219">
        <v>25051.91</v>
      </c>
      <c r="H1219">
        <v>25051.91</v>
      </c>
      <c r="I1219">
        <v>24990.57</v>
      </c>
      <c r="J1219" t="s">
        <v>15</v>
      </c>
      <c r="K1219">
        <v>-17.52</v>
      </c>
      <c r="L1219" s="9">
        <v>-1</v>
      </c>
      <c r="M1219">
        <v>0</v>
      </c>
      <c r="N1219">
        <f t="shared" si="38"/>
        <v>1</v>
      </c>
      <c r="O1219">
        <f t="shared" si="39"/>
        <v>0</v>
      </c>
    </row>
    <row r="1220" spans="1:15" x14ac:dyDescent="0.2">
      <c r="A1220" s="1">
        <v>45952</v>
      </c>
      <c r="B1220">
        <v>3</v>
      </c>
      <c r="C1220" t="s">
        <v>13</v>
      </c>
      <c r="D1220" s="2">
        <v>0.43402777777777779</v>
      </c>
      <c r="E1220">
        <v>25042.87</v>
      </c>
      <c r="F1220" s="2">
        <v>0.43541666666666667</v>
      </c>
      <c r="G1220">
        <v>24999.05</v>
      </c>
      <c r="H1220">
        <v>25060.400000000001</v>
      </c>
      <c r="I1220">
        <v>24999.05</v>
      </c>
      <c r="J1220" t="s">
        <v>14</v>
      </c>
      <c r="K1220">
        <v>43.83</v>
      </c>
      <c r="L1220" s="9">
        <v>2.5</v>
      </c>
      <c r="M1220">
        <v>1</v>
      </c>
      <c r="N1220">
        <f t="shared" si="38"/>
        <v>0</v>
      </c>
      <c r="O1220">
        <f t="shared" si="39"/>
        <v>1</v>
      </c>
    </row>
    <row r="1221" spans="1:15" x14ac:dyDescent="0.2">
      <c r="A1221" s="1">
        <v>45953</v>
      </c>
      <c r="B1221">
        <v>4</v>
      </c>
      <c r="C1221" t="s">
        <v>16</v>
      </c>
      <c r="D1221" s="2">
        <v>0.39652777777777776</v>
      </c>
      <c r="E1221">
        <v>24861.17</v>
      </c>
      <c r="F1221" s="2">
        <v>0.4</v>
      </c>
      <c r="G1221">
        <v>24904.68</v>
      </c>
      <c r="H1221">
        <v>24843.77</v>
      </c>
      <c r="I1221">
        <v>24904.68</v>
      </c>
      <c r="J1221" t="s">
        <v>14</v>
      </c>
      <c r="K1221">
        <v>43.51</v>
      </c>
      <c r="L1221" s="9">
        <v>2.5</v>
      </c>
      <c r="M1221">
        <v>1</v>
      </c>
      <c r="N1221">
        <f t="shared" si="38"/>
        <v>0</v>
      </c>
      <c r="O1221">
        <f t="shared" si="39"/>
        <v>2</v>
      </c>
    </row>
    <row r="1222" spans="1:15" x14ac:dyDescent="0.2">
      <c r="A1222" s="1">
        <v>45953</v>
      </c>
      <c r="B1222">
        <v>4</v>
      </c>
      <c r="C1222" t="s">
        <v>16</v>
      </c>
      <c r="D1222" s="2">
        <v>0.44444444444444442</v>
      </c>
      <c r="E1222">
        <v>25025.75</v>
      </c>
      <c r="F1222" s="2">
        <v>0.4465277777777778</v>
      </c>
      <c r="G1222">
        <v>25008.23</v>
      </c>
      <c r="H1222">
        <v>25008.23</v>
      </c>
      <c r="I1222">
        <v>25069.54</v>
      </c>
      <c r="J1222" t="s">
        <v>15</v>
      </c>
      <c r="K1222">
        <v>-17.52</v>
      </c>
      <c r="L1222" s="9">
        <v>-1</v>
      </c>
      <c r="M1222">
        <v>0</v>
      </c>
      <c r="N1222">
        <f t="shared" si="38"/>
        <v>1</v>
      </c>
      <c r="O1222">
        <f t="shared" si="39"/>
        <v>0</v>
      </c>
    </row>
    <row r="1223" spans="1:15" x14ac:dyDescent="0.2">
      <c r="A1223" s="1">
        <v>45954</v>
      </c>
      <c r="B1223">
        <v>5</v>
      </c>
      <c r="C1223" t="s">
        <v>16</v>
      </c>
      <c r="D1223" s="2">
        <v>0.42222222222222222</v>
      </c>
      <c r="E1223">
        <v>25377.22</v>
      </c>
      <c r="F1223" s="2">
        <v>0.43125000000000002</v>
      </c>
      <c r="G1223">
        <v>25359.45</v>
      </c>
      <c r="H1223">
        <v>25359.45</v>
      </c>
      <c r="I1223">
        <v>25421.63</v>
      </c>
      <c r="J1223" t="s">
        <v>15</v>
      </c>
      <c r="K1223">
        <v>-17.760000000000002</v>
      </c>
      <c r="L1223" s="9">
        <v>-1</v>
      </c>
      <c r="M1223">
        <v>0</v>
      </c>
      <c r="N1223">
        <f t="shared" si="38"/>
        <v>2</v>
      </c>
      <c r="O1223">
        <f t="shared" si="39"/>
        <v>0</v>
      </c>
    </row>
    <row r="1224" spans="1:15" x14ac:dyDescent="0.2">
      <c r="A1224" s="1">
        <v>45957</v>
      </c>
      <c r="B1224">
        <v>1</v>
      </c>
      <c r="C1224" t="s">
        <v>16</v>
      </c>
      <c r="D1224" s="2">
        <v>0.41388888888888886</v>
      </c>
      <c r="E1224">
        <v>25692.7</v>
      </c>
      <c r="F1224" s="2">
        <v>0.44166666666666665</v>
      </c>
      <c r="G1224">
        <v>25737.67</v>
      </c>
      <c r="H1224">
        <v>25674.720000000001</v>
      </c>
      <c r="I1224">
        <v>25737.67</v>
      </c>
      <c r="J1224" t="s">
        <v>14</v>
      </c>
      <c r="K1224">
        <v>44.96</v>
      </c>
      <c r="L1224" s="9">
        <v>2.5</v>
      </c>
      <c r="M1224">
        <v>1</v>
      </c>
      <c r="N1224">
        <f t="shared" si="38"/>
        <v>0</v>
      </c>
      <c r="O1224">
        <f t="shared" si="39"/>
        <v>1</v>
      </c>
    </row>
    <row r="1225" spans="1:15" x14ac:dyDescent="0.2">
      <c r="A1225" s="1">
        <v>45958</v>
      </c>
      <c r="B1225">
        <v>2</v>
      </c>
      <c r="C1225" t="s">
        <v>16</v>
      </c>
      <c r="D1225" s="2">
        <v>0.39861111111111114</v>
      </c>
      <c r="E1225">
        <v>25930.25</v>
      </c>
      <c r="F1225" s="2">
        <v>0.39930555555555558</v>
      </c>
      <c r="G1225">
        <v>25912.09</v>
      </c>
      <c r="H1225">
        <v>25912.09</v>
      </c>
      <c r="I1225">
        <v>25975.62</v>
      </c>
      <c r="J1225" t="s">
        <v>15</v>
      </c>
      <c r="K1225">
        <v>-18.149999999999999</v>
      </c>
      <c r="L1225" s="9">
        <v>-1</v>
      </c>
      <c r="M1225">
        <v>0</v>
      </c>
      <c r="N1225">
        <f t="shared" si="38"/>
        <v>1</v>
      </c>
      <c r="O1225">
        <f t="shared" si="39"/>
        <v>0</v>
      </c>
    </row>
    <row r="1226" spans="1:15" x14ac:dyDescent="0.2">
      <c r="A1226" s="1">
        <v>45958</v>
      </c>
      <c r="B1226">
        <v>2</v>
      </c>
      <c r="C1226" t="s">
        <v>13</v>
      </c>
      <c r="D1226" s="2">
        <v>0.43819444444444444</v>
      </c>
      <c r="E1226">
        <v>25898.95</v>
      </c>
      <c r="F1226" s="2">
        <v>0.49930555555555556</v>
      </c>
      <c r="G1226">
        <v>25917.08</v>
      </c>
      <c r="H1226">
        <v>25917.08</v>
      </c>
      <c r="I1226">
        <v>25853.63</v>
      </c>
      <c r="J1226" t="s">
        <v>15</v>
      </c>
      <c r="K1226">
        <v>-18.13</v>
      </c>
      <c r="L1226" s="9">
        <v>-1</v>
      </c>
      <c r="M1226">
        <v>0</v>
      </c>
      <c r="N1226">
        <f t="shared" si="38"/>
        <v>2</v>
      </c>
      <c r="O1226">
        <f t="shared" si="39"/>
        <v>0</v>
      </c>
    </row>
    <row r="1227" spans="1:15" x14ac:dyDescent="0.2">
      <c r="A1227" s="1">
        <v>45960</v>
      </c>
      <c r="B1227">
        <v>4</v>
      </c>
      <c r="C1227" t="s">
        <v>13</v>
      </c>
      <c r="D1227" s="2">
        <v>0.40347222222222223</v>
      </c>
      <c r="E1227">
        <v>25828.44</v>
      </c>
      <c r="F1227" s="2">
        <v>0.40486111111111112</v>
      </c>
      <c r="G1227">
        <v>25846.52</v>
      </c>
      <c r="H1227">
        <v>25846.52</v>
      </c>
      <c r="I1227">
        <v>25783.24</v>
      </c>
      <c r="J1227" t="s">
        <v>15</v>
      </c>
      <c r="K1227">
        <v>-18.079999999999998</v>
      </c>
      <c r="L1227" s="9">
        <v>-1</v>
      </c>
      <c r="M1227">
        <v>0</v>
      </c>
      <c r="N1227">
        <f t="shared" si="38"/>
        <v>3</v>
      </c>
      <c r="O1227">
        <f t="shared" si="39"/>
        <v>0</v>
      </c>
    </row>
    <row r="1228" spans="1:15" x14ac:dyDescent="0.2">
      <c r="A1228" s="1">
        <v>45960</v>
      </c>
      <c r="B1228">
        <v>4</v>
      </c>
      <c r="C1228" t="s">
        <v>13</v>
      </c>
      <c r="D1228" s="2">
        <v>0.43541666666666667</v>
      </c>
      <c r="E1228">
        <v>25889.59</v>
      </c>
      <c r="F1228" s="2">
        <v>0.43819444444444444</v>
      </c>
      <c r="G1228">
        <v>25907.71</v>
      </c>
      <c r="H1228">
        <v>25907.71</v>
      </c>
      <c r="I1228">
        <v>25844.28</v>
      </c>
      <c r="J1228" t="s">
        <v>15</v>
      </c>
      <c r="K1228">
        <v>-18.12</v>
      </c>
      <c r="L1228" s="9">
        <v>-1</v>
      </c>
      <c r="M1228">
        <v>0</v>
      </c>
      <c r="N1228">
        <f t="shared" si="38"/>
        <v>4</v>
      </c>
      <c r="O1228">
        <f t="shared" si="39"/>
        <v>0</v>
      </c>
    </row>
    <row r="1229" spans="1:15" x14ac:dyDescent="0.2">
      <c r="A1229" s="1">
        <v>45961</v>
      </c>
      <c r="B1229">
        <v>5</v>
      </c>
      <c r="C1229" t="s">
        <v>13</v>
      </c>
      <c r="D1229" s="2">
        <v>0.39930555555555558</v>
      </c>
      <c r="E1229">
        <v>26029.98</v>
      </c>
      <c r="F1229" s="2">
        <v>0.40416666666666667</v>
      </c>
      <c r="G1229">
        <v>25984.43</v>
      </c>
      <c r="H1229">
        <v>26048.2</v>
      </c>
      <c r="I1229">
        <v>25984.43</v>
      </c>
      <c r="J1229" t="s">
        <v>14</v>
      </c>
      <c r="K1229">
        <v>45.55</v>
      </c>
      <c r="L1229" s="9">
        <v>2.5</v>
      </c>
      <c r="M1229">
        <v>1</v>
      </c>
      <c r="N1229">
        <f t="shared" si="38"/>
        <v>0</v>
      </c>
      <c r="O1229">
        <f t="shared" si="39"/>
        <v>1</v>
      </c>
    </row>
    <row r="1230" spans="1:15" s="7" customFormat="1" x14ac:dyDescent="0.2">
      <c r="A1230" s="6">
        <v>45961</v>
      </c>
      <c r="B1230" s="7">
        <v>5</v>
      </c>
      <c r="C1230" s="7" t="s">
        <v>16</v>
      </c>
      <c r="D1230" s="8">
        <v>0.44444444444444442</v>
      </c>
      <c r="E1230" s="7">
        <v>26005.41</v>
      </c>
      <c r="F1230" s="8">
        <v>0.48402777777777778</v>
      </c>
      <c r="G1230" s="7">
        <v>25987.21</v>
      </c>
      <c r="H1230" s="7">
        <v>25987.21</v>
      </c>
      <c r="I1230" s="7">
        <v>26050.92</v>
      </c>
      <c r="J1230" s="7" t="s">
        <v>15</v>
      </c>
      <c r="K1230" s="7">
        <v>-18.2</v>
      </c>
      <c r="L1230" s="10">
        <v>-1</v>
      </c>
      <c r="M1230" s="7">
        <v>0</v>
      </c>
      <c r="N1230" s="7">
        <f t="shared" si="38"/>
        <v>1</v>
      </c>
      <c r="O1230" s="7">
        <f t="shared" si="39"/>
        <v>0</v>
      </c>
    </row>
    <row r="1231" spans="1:15" x14ac:dyDescent="0.2">
      <c r="A1231" s="1">
        <v>45965</v>
      </c>
      <c r="B1231">
        <v>2</v>
      </c>
      <c r="C1231" t="s">
        <v>16</v>
      </c>
      <c r="D1231" s="2">
        <v>0.4152777777777778</v>
      </c>
      <c r="E1231">
        <v>25720.799999999999</v>
      </c>
      <c r="F1231" s="2">
        <v>0.4236111111111111</v>
      </c>
      <c r="G1231">
        <v>25702.799999999999</v>
      </c>
      <c r="H1231">
        <v>25702.799999999999</v>
      </c>
      <c r="I1231">
        <v>25765.81</v>
      </c>
      <c r="J1231" t="s">
        <v>15</v>
      </c>
      <c r="K1231">
        <v>-18</v>
      </c>
      <c r="L1231" s="9">
        <v>-1</v>
      </c>
      <c r="M1231">
        <v>0</v>
      </c>
      <c r="N1231">
        <f t="shared" si="38"/>
        <v>2</v>
      </c>
      <c r="O1231">
        <f t="shared" si="39"/>
        <v>0</v>
      </c>
    </row>
    <row r="1232" spans="1:15" x14ac:dyDescent="0.2">
      <c r="A1232" s="1">
        <v>45965</v>
      </c>
      <c r="B1232">
        <v>2</v>
      </c>
      <c r="C1232" t="s">
        <v>13</v>
      </c>
      <c r="D1232" s="2">
        <v>0.45694444444444443</v>
      </c>
      <c r="E1232">
        <v>25660.13</v>
      </c>
      <c r="F1232" s="2">
        <v>0.45833333333333331</v>
      </c>
      <c r="G1232">
        <v>25678.1</v>
      </c>
      <c r="H1232">
        <v>25678.1</v>
      </c>
      <c r="I1232">
        <v>25615.23</v>
      </c>
      <c r="J1232" t="s">
        <v>15</v>
      </c>
      <c r="K1232">
        <v>-17.96</v>
      </c>
      <c r="L1232" s="9">
        <v>-1</v>
      </c>
      <c r="M1232">
        <v>0</v>
      </c>
      <c r="N1232">
        <f t="shared" si="38"/>
        <v>3</v>
      </c>
      <c r="O1232">
        <f t="shared" si="39"/>
        <v>0</v>
      </c>
    </row>
    <row r="1233" spans="1:15" x14ac:dyDescent="0.2">
      <c r="A1233" s="1">
        <v>45967</v>
      </c>
      <c r="B1233">
        <v>4</v>
      </c>
      <c r="C1233" t="s">
        <v>13</v>
      </c>
      <c r="D1233" s="2">
        <v>0.40138888888888891</v>
      </c>
      <c r="E1233">
        <v>25524.23</v>
      </c>
      <c r="F1233" s="2">
        <v>0.40208333333333335</v>
      </c>
      <c r="G1233">
        <v>25542.1</v>
      </c>
      <c r="H1233">
        <v>25542.1</v>
      </c>
      <c r="I1233">
        <v>25479.56</v>
      </c>
      <c r="J1233" t="s">
        <v>15</v>
      </c>
      <c r="K1233">
        <v>-17.87</v>
      </c>
      <c r="L1233" s="9">
        <v>-1</v>
      </c>
      <c r="M1233">
        <v>0</v>
      </c>
      <c r="N1233">
        <f t="shared" si="38"/>
        <v>4</v>
      </c>
      <c r="O1233">
        <f t="shared" si="39"/>
        <v>0</v>
      </c>
    </row>
    <row r="1234" spans="1:15" x14ac:dyDescent="0.2">
      <c r="A1234" s="1">
        <v>45967</v>
      </c>
      <c r="B1234">
        <v>4</v>
      </c>
      <c r="C1234" t="s">
        <v>13</v>
      </c>
      <c r="D1234" s="2">
        <v>0.4465277777777778</v>
      </c>
      <c r="E1234">
        <v>25240.66</v>
      </c>
      <c r="F1234" s="2">
        <v>0.45</v>
      </c>
      <c r="G1234">
        <v>25196.49</v>
      </c>
      <c r="H1234">
        <v>25258.33</v>
      </c>
      <c r="I1234">
        <v>25196.49</v>
      </c>
      <c r="J1234" t="s">
        <v>14</v>
      </c>
      <c r="K1234">
        <v>44.17</v>
      </c>
      <c r="L1234" s="9">
        <v>2.5</v>
      </c>
      <c r="M1234">
        <v>1</v>
      </c>
      <c r="N1234">
        <f t="shared" si="38"/>
        <v>0</v>
      </c>
      <c r="O1234">
        <f t="shared" si="39"/>
        <v>1</v>
      </c>
    </row>
    <row r="1235" spans="1:15" x14ac:dyDescent="0.2">
      <c r="A1235" s="1">
        <v>45968</v>
      </c>
      <c r="B1235">
        <v>5</v>
      </c>
      <c r="C1235" t="s">
        <v>13</v>
      </c>
      <c r="D1235" s="2">
        <v>0.40347222222222223</v>
      </c>
      <c r="E1235">
        <v>24851.85</v>
      </c>
      <c r="F1235" s="2">
        <v>0.40486111111111112</v>
      </c>
      <c r="G1235">
        <v>24869.25</v>
      </c>
      <c r="H1235">
        <v>24869.25</v>
      </c>
      <c r="I1235">
        <v>24808.36</v>
      </c>
      <c r="J1235" t="s">
        <v>15</v>
      </c>
      <c r="K1235">
        <v>-17.399999999999999</v>
      </c>
      <c r="L1235" s="9">
        <v>-1</v>
      </c>
      <c r="M1235">
        <v>0</v>
      </c>
      <c r="N1235">
        <f t="shared" si="38"/>
        <v>1</v>
      </c>
      <c r="O1235">
        <f t="shared" si="39"/>
        <v>0</v>
      </c>
    </row>
    <row r="1236" spans="1:15" x14ac:dyDescent="0.2">
      <c r="A1236" s="1">
        <v>45968</v>
      </c>
      <c r="B1236">
        <v>5</v>
      </c>
      <c r="C1236" t="s">
        <v>13</v>
      </c>
      <c r="D1236" s="2">
        <v>0.44930555555555557</v>
      </c>
      <c r="E1236">
        <v>24764.09</v>
      </c>
      <c r="F1236" s="2">
        <v>0.4513888888888889</v>
      </c>
      <c r="G1236">
        <v>24781.43</v>
      </c>
      <c r="H1236">
        <v>24781.43</v>
      </c>
      <c r="I1236">
        <v>24720.75</v>
      </c>
      <c r="J1236" t="s">
        <v>15</v>
      </c>
      <c r="K1236">
        <v>-17.329999999999998</v>
      </c>
      <c r="L1236" s="9">
        <v>-1</v>
      </c>
      <c r="M1236">
        <v>0</v>
      </c>
      <c r="N1236">
        <f t="shared" si="38"/>
        <v>2</v>
      </c>
      <c r="O1236">
        <f t="shared" si="39"/>
        <v>0</v>
      </c>
    </row>
    <row r="1237" spans="1:15" x14ac:dyDescent="0.2">
      <c r="A1237" s="1">
        <v>45971</v>
      </c>
      <c r="B1237">
        <v>1</v>
      </c>
      <c r="C1237" t="s">
        <v>16</v>
      </c>
      <c r="D1237" s="2">
        <v>0.40416666666666667</v>
      </c>
      <c r="E1237">
        <v>25507.61</v>
      </c>
      <c r="F1237" s="2">
        <v>0.40972222222222221</v>
      </c>
      <c r="G1237">
        <v>25489.75</v>
      </c>
      <c r="H1237">
        <v>25489.75</v>
      </c>
      <c r="I1237">
        <v>25552.240000000002</v>
      </c>
      <c r="J1237" t="s">
        <v>15</v>
      </c>
      <c r="K1237">
        <v>-17.86</v>
      </c>
      <c r="L1237" s="9">
        <v>-1</v>
      </c>
      <c r="M1237">
        <v>0</v>
      </c>
      <c r="N1237">
        <f t="shared" si="38"/>
        <v>3</v>
      </c>
      <c r="O1237">
        <f t="shared" si="39"/>
        <v>0</v>
      </c>
    </row>
    <row r="1238" spans="1:15" x14ac:dyDescent="0.2">
      <c r="A1238" s="1">
        <v>45971</v>
      </c>
      <c r="B1238">
        <v>1</v>
      </c>
      <c r="C1238" t="s">
        <v>16</v>
      </c>
      <c r="D1238" s="2">
        <v>0.42291666666666666</v>
      </c>
      <c r="E1238">
        <v>25534.46</v>
      </c>
      <c r="F1238" s="2">
        <v>0.42638888888888887</v>
      </c>
      <c r="G1238">
        <v>25516.58</v>
      </c>
      <c r="H1238">
        <v>25516.58</v>
      </c>
      <c r="I1238">
        <v>25579.14</v>
      </c>
      <c r="J1238" t="s">
        <v>15</v>
      </c>
      <c r="K1238">
        <v>-17.87</v>
      </c>
      <c r="L1238" s="9">
        <v>-1</v>
      </c>
      <c r="M1238">
        <v>0</v>
      </c>
      <c r="N1238">
        <f t="shared" si="38"/>
        <v>4</v>
      </c>
      <c r="O1238">
        <f t="shared" si="39"/>
        <v>0</v>
      </c>
    </row>
    <row r="1239" spans="1:15" x14ac:dyDescent="0.2">
      <c r="A1239" s="1">
        <v>45971</v>
      </c>
      <c r="B1239">
        <v>1</v>
      </c>
      <c r="C1239" t="s">
        <v>16</v>
      </c>
      <c r="D1239" s="2">
        <v>0.43611111111111112</v>
      </c>
      <c r="E1239">
        <v>25550.720000000001</v>
      </c>
      <c r="F1239" s="2">
        <v>0.43958333333333333</v>
      </c>
      <c r="G1239">
        <v>25532.84</v>
      </c>
      <c r="H1239">
        <v>25532.84</v>
      </c>
      <c r="I1239">
        <v>25595.439999999999</v>
      </c>
      <c r="J1239" t="s">
        <v>15</v>
      </c>
      <c r="K1239">
        <v>-17.89</v>
      </c>
      <c r="L1239" s="9">
        <v>-1</v>
      </c>
      <c r="M1239">
        <v>0</v>
      </c>
      <c r="N1239">
        <f t="shared" si="38"/>
        <v>5</v>
      </c>
      <c r="O1239">
        <f t="shared" si="39"/>
        <v>0</v>
      </c>
    </row>
    <row r="1240" spans="1:15" x14ac:dyDescent="0.2">
      <c r="A1240" s="1">
        <v>45972</v>
      </c>
      <c r="B1240">
        <v>2</v>
      </c>
      <c r="C1240" t="s">
        <v>13</v>
      </c>
      <c r="D1240" s="2">
        <v>0.41249999999999998</v>
      </c>
      <c r="E1240">
        <v>25473.26</v>
      </c>
      <c r="F1240" s="2">
        <v>0.41388888888888886</v>
      </c>
      <c r="G1240">
        <v>25491.09</v>
      </c>
      <c r="H1240">
        <v>25491.09</v>
      </c>
      <c r="I1240">
        <v>25428.69</v>
      </c>
      <c r="J1240" t="s">
        <v>15</v>
      </c>
      <c r="K1240">
        <v>-17.829999999999998</v>
      </c>
      <c r="L1240" s="9">
        <v>-1</v>
      </c>
      <c r="M1240">
        <v>0</v>
      </c>
      <c r="N1240">
        <f t="shared" si="38"/>
        <v>6</v>
      </c>
      <c r="O1240">
        <f t="shared" si="39"/>
        <v>0</v>
      </c>
    </row>
    <row r="1241" spans="1:15" x14ac:dyDescent="0.2">
      <c r="A1241" s="1">
        <v>45972</v>
      </c>
      <c r="B1241">
        <v>2</v>
      </c>
      <c r="C1241" t="s">
        <v>13</v>
      </c>
      <c r="D1241" s="2">
        <v>0.42916666666666664</v>
      </c>
      <c r="E1241">
        <v>25459.26</v>
      </c>
      <c r="F1241" s="2">
        <v>0.43958333333333333</v>
      </c>
      <c r="G1241">
        <v>25414.71</v>
      </c>
      <c r="H1241">
        <v>25477.09</v>
      </c>
      <c r="I1241">
        <v>25414.71</v>
      </c>
      <c r="J1241" t="s">
        <v>14</v>
      </c>
      <c r="K1241">
        <v>44.55</v>
      </c>
      <c r="L1241" s="9">
        <v>2.5</v>
      </c>
      <c r="M1241">
        <v>1</v>
      </c>
      <c r="N1241">
        <f t="shared" si="38"/>
        <v>0</v>
      </c>
      <c r="O1241">
        <f t="shared" si="39"/>
        <v>1</v>
      </c>
    </row>
    <row r="1242" spans="1:15" x14ac:dyDescent="0.2">
      <c r="A1242">
        <f>SUBTOTAL(103,Table1[date])</f>
        <v>1240</v>
      </c>
      <c r="L1242" s="9">
        <f>SUBTOTAL(101,Table1[r_multiple])</f>
        <v>0.37190575914758062</v>
      </c>
      <c r="M1242">
        <f>SUBTOTAL(101,Table1[battingAvg])</f>
        <v>0.39032258064516129</v>
      </c>
      <c r="N1242">
        <f>SUBTOTAL(104,Table1[maxDD])</f>
        <v>13</v>
      </c>
      <c r="O1242">
        <f>SUBTOTAL(104,Table1[maxWW])</f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msFinalLog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Ampudia Arroyo</cp:lastModifiedBy>
  <dcterms:created xsi:type="dcterms:W3CDTF">2025-12-17T19:10:19Z</dcterms:created>
  <dcterms:modified xsi:type="dcterms:W3CDTF">2026-01-06T04:26:42Z</dcterms:modified>
</cp:coreProperties>
</file>